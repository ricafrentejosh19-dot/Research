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A135E59C-F14A-4C7A-9A70-6DD5C40B12EE}" xr6:coauthVersionLast="47" xr6:coauthVersionMax="47" xr10:uidLastSave="{00000000-0000-0000-0000-000000000000}"/>
  <bookViews>
    <workbookView xWindow="-120" yWindow="-120" windowWidth="20730" windowHeight="11310" xr2:uid="{DBA543C0-C587-4DD5-8CE5-2ADD7911A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0" i="1" l="1"/>
  <c r="N101" i="1"/>
  <c r="N94" i="1"/>
  <c r="N92" i="1"/>
  <c r="N87" i="1"/>
  <c r="N86" i="1"/>
  <c r="N83" i="1"/>
  <c r="N77" i="1"/>
  <c r="N75" i="1"/>
  <c r="N71" i="1"/>
  <c r="N55" i="1"/>
  <c r="N39" i="1"/>
  <c r="N29" i="1"/>
  <c r="N17" i="1"/>
  <c r="N15" i="1"/>
</calcChain>
</file>

<file path=xl/sharedStrings.xml><?xml version="1.0" encoding="utf-8"?>
<sst xmlns="http://schemas.openxmlformats.org/spreadsheetml/2006/main" count="146" uniqueCount="48">
  <si>
    <t>KM</t>
  </si>
  <si>
    <t>Amount</t>
  </si>
  <si>
    <t>Outlet Name</t>
  </si>
  <si>
    <t>Date</t>
  </si>
  <si>
    <t>Sales Invoice</t>
  </si>
  <si>
    <t>Quantity</t>
  </si>
  <si>
    <t>Cost per rate</t>
  </si>
  <si>
    <t>Total:</t>
  </si>
  <si>
    <t xml:space="preserve"> </t>
  </si>
  <si>
    <t>at 55.00/L pump price</t>
  </si>
  <si>
    <t>ALFAMART TRADING PHILIPPINES</t>
  </si>
  <si>
    <t>ROYAL CANDY</t>
  </si>
  <si>
    <t>ILAYAMART</t>
  </si>
  <si>
    <t>SARIAYA INSTITUTE</t>
  </si>
  <si>
    <t>CARLOS DRUGS</t>
  </si>
  <si>
    <t>SAVEMORE AGORA</t>
  </si>
  <si>
    <t>10/16/2025</t>
  </si>
  <si>
    <t>NOVO DEPT. STORE</t>
  </si>
  <si>
    <t xml:space="preserve">CARLOS DRUGS </t>
  </si>
  <si>
    <t>10/17/2025</t>
  </si>
  <si>
    <t>10/18/2025</t>
  </si>
  <si>
    <t>SUPERSHOPRITE</t>
  </si>
  <si>
    <t>MERCURY DRUGS</t>
  </si>
  <si>
    <t>10/20/2025</t>
  </si>
  <si>
    <t>SOUTHSTAR DRUGS</t>
  </si>
  <si>
    <t>GCJK MARKETING</t>
  </si>
  <si>
    <t>SM LUCENA</t>
  </si>
  <si>
    <t>SAVEMORE TAYABAS</t>
  </si>
  <si>
    <t>10/21/2025</t>
  </si>
  <si>
    <t>TITA DEL'S PHARMACY</t>
  </si>
  <si>
    <t>PUREGOLD SARIAYA</t>
  </si>
  <si>
    <t>J &amp; V BUENA SUERTE</t>
  </si>
  <si>
    <t>10/22/2025</t>
  </si>
  <si>
    <t>METRO SUPERMARKET</t>
  </si>
  <si>
    <t>PUREGOLD GULANG-GULANG</t>
  </si>
  <si>
    <t>10/23/2025</t>
  </si>
  <si>
    <t>10/24/2025</t>
  </si>
  <si>
    <t>10/25/2025</t>
  </si>
  <si>
    <t>MERLE PORTES</t>
  </si>
  <si>
    <t>DOCTORS</t>
  </si>
  <si>
    <t>ONGVILLE COMMERCIAL CANDELARIA</t>
  </si>
  <si>
    <t>10/27/2025</t>
  </si>
  <si>
    <t>YLAYA PROSPER</t>
  </si>
  <si>
    <t>10/28/2025</t>
  </si>
  <si>
    <t>10/29/2025</t>
  </si>
  <si>
    <t>SUPERSHORPRITE</t>
  </si>
  <si>
    <t>10/30/2025</t>
  </si>
  <si>
    <t>10/31/2025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</si>
</sst>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0" fillId="0" borderId="8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3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9" xfId="0" applyFont="1" applyBorder="1" applyAlignment="1">
      <alignment horizontal="right" vertical="top"/>
    </xf>
    <xf numFmtId="14" fontId="3" fillId="0" borderId="3" xfId="0" applyNumberFormat="1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0BE6-0B0C-4473-BE65-34A06228CA91}">
  <dimension ref="A1:Y110"/>
  <sheetViews>
    <sheetView tabSelected="1" view="pageLayout" topLeftCell="A98" zoomScale="114" zoomScaleNormal="100" zoomScaleSheetLayoutView="90" zoomScalePageLayoutView="114" workbookViewId="0">
      <selection activeCell="N111" sqref="N111"/>
    </sheetView>
  </sheetViews>
  <sheetFormatPr defaultRowHeight="15" x14ac:dyDescent="0.25"/>
  <cols>
    <col min="1" max="1" width="4.85546875" customWidth="1"/>
    <col min="2" max="2" width="7.140625" customWidth="1"/>
    <col min="3" max="3" width="6" customWidth="1"/>
    <col min="4" max="4" width="8.5703125" customWidth="1"/>
    <col min="5" max="5" width="8.7109375" customWidth="1"/>
    <col min="6" max="6" width="2.85546875" customWidth="1"/>
    <col min="7" max="7" width="8.7109375" customWidth="1"/>
    <col min="8" max="8" width="3" customWidth="1"/>
    <col min="9" max="9" width="3.5703125" customWidth="1"/>
    <col min="10" max="10" width="2.5703125" customWidth="1"/>
    <col min="11" max="11" width="8.140625" customWidth="1"/>
    <col min="12" max="12" width="8.7109375" customWidth="1"/>
    <col min="13" max="13" width="4" customWidth="1"/>
    <col min="14" max="14" width="8.42578125" customWidth="1"/>
    <col min="15" max="15" width="1.85546875" customWidth="1"/>
    <col min="16" max="16" width="8.7109375" customWidth="1"/>
    <col min="18" max="18" width="2.5703125" customWidth="1"/>
  </cols>
  <sheetData>
    <row r="1" spans="1:18" x14ac:dyDescent="0.25">
      <c r="A1" s="26" t="s">
        <v>2</v>
      </c>
      <c r="B1" s="27"/>
      <c r="C1" s="27"/>
      <c r="D1" s="28"/>
      <c r="E1" s="21" t="s">
        <v>3</v>
      </c>
      <c r="F1" s="21"/>
      <c r="G1" s="21" t="s">
        <v>4</v>
      </c>
      <c r="H1" s="21"/>
      <c r="I1" s="21" t="s">
        <v>0</v>
      </c>
      <c r="J1" s="21"/>
      <c r="K1" s="2" t="s">
        <v>5</v>
      </c>
      <c r="L1" s="21" t="s">
        <v>6</v>
      </c>
      <c r="M1" s="21"/>
      <c r="N1" s="21" t="s">
        <v>1</v>
      </c>
      <c r="O1" s="21"/>
    </row>
    <row r="2" spans="1:18" x14ac:dyDescent="0.25">
      <c r="A2" s="9" t="s">
        <v>15</v>
      </c>
      <c r="B2" s="10"/>
      <c r="C2" s="10"/>
      <c r="D2" s="11"/>
      <c r="E2" s="12" t="s">
        <v>16</v>
      </c>
      <c r="F2" s="13"/>
      <c r="G2" s="7">
        <v>1135394200</v>
      </c>
      <c r="H2" s="8"/>
      <c r="I2" s="7"/>
      <c r="J2" s="8"/>
      <c r="K2" s="4"/>
      <c r="L2" s="7"/>
      <c r="M2" s="8"/>
      <c r="N2" s="7"/>
      <c r="O2" s="8"/>
    </row>
    <row r="3" spans="1:18" x14ac:dyDescent="0.25">
      <c r="A3" s="9"/>
      <c r="B3" s="10"/>
      <c r="C3" s="10"/>
      <c r="D3" s="11"/>
      <c r="E3" s="12" t="s">
        <v>16</v>
      </c>
      <c r="F3" s="13"/>
      <c r="G3" s="7">
        <v>1135394100</v>
      </c>
      <c r="H3" s="8"/>
      <c r="I3" s="7"/>
      <c r="J3" s="8"/>
      <c r="K3" s="4"/>
      <c r="L3" s="7"/>
      <c r="M3" s="8"/>
      <c r="N3" s="7"/>
      <c r="O3" s="8"/>
    </row>
    <row r="4" spans="1:18" x14ac:dyDescent="0.25">
      <c r="A4" s="9"/>
      <c r="B4" s="10"/>
      <c r="C4" s="10"/>
      <c r="D4" s="11"/>
      <c r="E4" s="12" t="s">
        <v>16</v>
      </c>
      <c r="F4" s="13"/>
      <c r="G4" s="7">
        <v>1135393600</v>
      </c>
      <c r="H4" s="8"/>
      <c r="I4" s="7"/>
      <c r="J4" s="8"/>
      <c r="K4" s="4"/>
      <c r="L4" s="7"/>
      <c r="M4" s="8"/>
      <c r="N4" s="7"/>
      <c r="O4" s="8"/>
    </row>
    <row r="5" spans="1:18" x14ac:dyDescent="0.25">
      <c r="A5" s="9"/>
      <c r="B5" s="10"/>
      <c r="C5" s="10"/>
      <c r="D5" s="11"/>
      <c r="E5" s="12" t="s">
        <v>16</v>
      </c>
      <c r="F5" s="13"/>
      <c r="G5" s="7">
        <v>1135393900</v>
      </c>
      <c r="H5" s="8"/>
      <c r="I5" s="7"/>
      <c r="J5" s="8"/>
      <c r="K5" s="4"/>
      <c r="L5" s="7"/>
      <c r="M5" s="8"/>
      <c r="N5" s="7"/>
      <c r="O5" s="8"/>
    </row>
    <row r="6" spans="1:18" x14ac:dyDescent="0.25">
      <c r="A6" s="9"/>
      <c r="B6" s="10"/>
      <c r="C6" s="10"/>
      <c r="D6" s="11"/>
      <c r="E6" s="12" t="s">
        <v>16</v>
      </c>
      <c r="F6" s="13"/>
      <c r="G6" s="7">
        <v>1135394000</v>
      </c>
      <c r="H6" s="8"/>
      <c r="I6" s="7"/>
      <c r="J6" s="8"/>
      <c r="K6" s="4"/>
      <c r="L6" s="7"/>
      <c r="M6" s="8"/>
      <c r="N6" s="7"/>
      <c r="O6" s="8"/>
    </row>
    <row r="7" spans="1:18" x14ac:dyDescent="0.25">
      <c r="A7" s="9"/>
      <c r="B7" s="10"/>
      <c r="C7" s="10"/>
      <c r="D7" s="11"/>
      <c r="E7" s="12" t="s">
        <v>16</v>
      </c>
      <c r="F7" s="13"/>
      <c r="G7" s="7">
        <v>1135393700</v>
      </c>
      <c r="H7" s="8"/>
      <c r="I7" s="7"/>
      <c r="J7" s="8"/>
      <c r="K7" s="4"/>
      <c r="L7" s="7"/>
      <c r="M7" s="8"/>
      <c r="N7" s="7"/>
      <c r="O7" s="8"/>
    </row>
    <row r="8" spans="1:18" x14ac:dyDescent="0.25">
      <c r="A8" s="9"/>
      <c r="B8" s="10"/>
      <c r="C8" s="10"/>
      <c r="D8" s="11"/>
      <c r="E8" s="12" t="s">
        <v>16</v>
      </c>
      <c r="F8" s="13"/>
      <c r="G8" s="7">
        <v>1135393800</v>
      </c>
      <c r="H8" s="8"/>
      <c r="I8" s="7"/>
      <c r="J8" s="8"/>
      <c r="K8" s="4"/>
      <c r="L8" s="7"/>
      <c r="M8" s="8"/>
      <c r="N8" s="7"/>
      <c r="O8" s="8"/>
      <c r="R8" s="1" t="s">
        <v>8</v>
      </c>
    </row>
    <row r="9" spans="1:18" x14ac:dyDescent="0.25">
      <c r="A9" s="9" t="s">
        <v>17</v>
      </c>
      <c r="B9" s="10"/>
      <c r="C9" s="10"/>
      <c r="D9" s="11"/>
      <c r="E9" s="12" t="s">
        <v>16</v>
      </c>
      <c r="F9" s="13"/>
      <c r="G9" s="7">
        <v>1187026</v>
      </c>
      <c r="H9" s="8"/>
      <c r="I9" s="7"/>
      <c r="J9" s="8"/>
      <c r="K9" s="4"/>
      <c r="L9" s="7"/>
      <c r="M9" s="8"/>
      <c r="N9" s="7"/>
      <c r="O9" s="8"/>
    </row>
    <row r="10" spans="1:18" x14ac:dyDescent="0.25">
      <c r="A10" s="9" t="s">
        <v>11</v>
      </c>
      <c r="B10" s="10"/>
      <c r="C10" s="10"/>
      <c r="D10" s="11"/>
      <c r="E10" s="12" t="s">
        <v>16</v>
      </c>
      <c r="F10" s="13"/>
      <c r="G10" s="7">
        <v>1187025</v>
      </c>
      <c r="H10" s="8"/>
      <c r="I10" s="7"/>
      <c r="J10" s="8"/>
      <c r="K10" s="4"/>
      <c r="L10" s="7"/>
      <c r="M10" s="8"/>
      <c r="N10" s="7"/>
      <c r="O10" s="8"/>
    </row>
    <row r="11" spans="1:18" x14ac:dyDescent="0.25">
      <c r="A11" s="9"/>
      <c r="B11" s="10"/>
      <c r="C11" s="10"/>
      <c r="D11" s="11"/>
      <c r="E11" s="12" t="s">
        <v>16</v>
      </c>
      <c r="F11" s="13"/>
      <c r="G11" s="7">
        <v>1187024</v>
      </c>
      <c r="H11" s="8"/>
      <c r="I11" s="7"/>
      <c r="J11" s="8"/>
      <c r="K11" s="4"/>
      <c r="L11" s="7"/>
      <c r="M11" s="8"/>
      <c r="N11" s="7"/>
      <c r="O11" s="8"/>
    </row>
    <row r="12" spans="1:18" x14ac:dyDescent="0.25">
      <c r="A12" s="9" t="s">
        <v>18</v>
      </c>
      <c r="B12" s="10"/>
      <c r="C12" s="10"/>
      <c r="D12" s="11"/>
      <c r="E12" s="12" t="s">
        <v>16</v>
      </c>
      <c r="F12" s="13"/>
      <c r="G12" s="7">
        <v>1187036</v>
      </c>
      <c r="H12" s="8"/>
      <c r="I12" s="7"/>
      <c r="J12" s="8"/>
      <c r="K12" s="4"/>
      <c r="L12" s="7"/>
      <c r="M12" s="8"/>
      <c r="N12" s="7"/>
      <c r="O12" s="8"/>
    </row>
    <row r="13" spans="1:18" x14ac:dyDescent="0.25">
      <c r="A13" s="9"/>
      <c r="B13" s="10"/>
      <c r="C13" s="10"/>
      <c r="D13" s="11"/>
      <c r="E13" s="12" t="s">
        <v>16</v>
      </c>
      <c r="F13" s="13"/>
      <c r="G13" s="7">
        <v>1187035</v>
      </c>
      <c r="H13" s="8"/>
      <c r="I13" s="7"/>
      <c r="J13" s="8"/>
      <c r="K13" s="4"/>
      <c r="L13" s="7"/>
      <c r="M13" s="8"/>
      <c r="N13" s="7"/>
      <c r="O13" s="8"/>
    </row>
    <row r="14" spans="1:18" x14ac:dyDescent="0.25">
      <c r="A14" s="9"/>
      <c r="B14" s="10"/>
      <c r="C14" s="10"/>
      <c r="D14" s="11"/>
      <c r="E14" s="12" t="s">
        <v>16</v>
      </c>
      <c r="F14" s="13"/>
      <c r="G14" s="7">
        <v>1187038</v>
      </c>
      <c r="H14" s="8"/>
      <c r="I14" s="7"/>
      <c r="J14" s="8"/>
      <c r="K14" s="4"/>
      <c r="L14" s="7"/>
      <c r="M14" s="8"/>
      <c r="N14" s="7"/>
      <c r="O14" s="8"/>
    </row>
    <row r="15" spans="1:18" x14ac:dyDescent="0.25">
      <c r="A15" s="9"/>
      <c r="B15" s="10"/>
      <c r="C15" s="10"/>
      <c r="D15" s="11"/>
      <c r="E15" s="12" t="s">
        <v>16</v>
      </c>
      <c r="F15" s="13"/>
      <c r="G15" s="7">
        <v>1187037</v>
      </c>
      <c r="H15" s="8"/>
      <c r="I15" s="7">
        <v>8</v>
      </c>
      <c r="J15" s="8"/>
      <c r="K15" s="4">
        <v>404</v>
      </c>
      <c r="L15" s="7">
        <v>8.08</v>
      </c>
      <c r="M15" s="8"/>
      <c r="N15" s="7">
        <f>K15*L15</f>
        <v>3264.32</v>
      </c>
      <c r="O15" s="8"/>
    </row>
    <row r="16" spans="1:18" x14ac:dyDescent="0.25">
      <c r="A16" s="9" t="s">
        <v>10</v>
      </c>
      <c r="B16" s="10"/>
      <c r="C16" s="10"/>
      <c r="D16" s="11"/>
      <c r="E16" s="12" t="s">
        <v>19</v>
      </c>
      <c r="F16" s="13"/>
      <c r="G16" s="7">
        <v>1187051</v>
      </c>
      <c r="H16" s="8"/>
      <c r="I16" s="7"/>
      <c r="J16" s="8"/>
      <c r="K16" s="4"/>
      <c r="L16" s="7"/>
      <c r="M16" s="8"/>
      <c r="N16" s="7"/>
      <c r="O16" s="8"/>
    </row>
    <row r="17" spans="1:25" x14ac:dyDescent="0.25">
      <c r="A17" s="9"/>
      <c r="B17" s="10"/>
      <c r="C17" s="10"/>
      <c r="D17" s="11"/>
      <c r="E17" s="12" t="s">
        <v>19</v>
      </c>
      <c r="F17" s="13"/>
      <c r="G17" s="7">
        <v>1187052</v>
      </c>
      <c r="H17" s="8"/>
      <c r="I17" s="7">
        <v>32</v>
      </c>
      <c r="J17" s="8"/>
      <c r="K17" s="4">
        <v>422</v>
      </c>
      <c r="L17" s="7">
        <v>9.49</v>
      </c>
      <c r="M17" s="8"/>
      <c r="N17" s="7">
        <f>K17*L17</f>
        <v>4004.78</v>
      </c>
      <c r="O17" s="8"/>
    </row>
    <row r="18" spans="1:25" x14ac:dyDescent="0.25">
      <c r="A18" s="9" t="s">
        <v>14</v>
      </c>
      <c r="B18" s="10"/>
      <c r="C18" s="10"/>
      <c r="D18" s="11"/>
      <c r="E18" s="12" t="s">
        <v>20</v>
      </c>
      <c r="F18" s="13"/>
      <c r="G18" s="7">
        <v>1187084</v>
      </c>
      <c r="H18" s="8"/>
      <c r="I18" s="7"/>
      <c r="J18" s="8"/>
      <c r="K18" s="4"/>
      <c r="L18" s="7"/>
      <c r="M18" s="8"/>
      <c r="N18" s="7"/>
      <c r="O18" s="8"/>
    </row>
    <row r="19" spans="1:25" x14ac:dyDescent="0.25">
      <c r="A19" s="9"/>
      <c r="B19" s="10"/>
      <c r="C19" s="10"/>
      <c r="D19" s="11"/>
      <c r="E19" s="12" t="s">
        <v>20</v>
      </c>
      <c r="F19" s="13"/>
      <c r="G19" s="7">
        <v>1187085</v>
      </c>
      <c r="H19" s="8"/>
      <c r="I19" s="7"/>
      <c r="J19" s="8"/>
      <c r="K19" s="4"/>
      <c r="L19" s="7"/>
      <c r="M19" s="8"/>
      <c r="N19" s="7"/>
      <c r="O19" s="8"/>
    </row>
    <row r="20" spans="1:25" x14ac:dyDescent="0.25">
      <c r="A20" s="9"/>
      <c r="B20" s="10"/>
      <c r="C20" s="10"/>
      <c r="D20" s="11"/>
      <c r="E20" s="12" t="s">
        <v>20</v>
      </c>
      <c r="F20" s="13"/>
      <c r="G20" s="7">
        <v>1187086</v>
      </c>
      <c r="H20" s="8"/>
      <c r="I20" s="7"/>
      <c r="J20" s="8"/>
      <c r="K20" s="4"/>
      <c r="L20" s="7"/>
      <c r="M20" s="8"/>
      <c r="N20" s="7"/>
      <c r="O20" s="8"/>
    </row>
    <row r="21" spans="1:25" x14ac:dyDescent="0.25">
      <c r="A21" s="9"/>
      <c r="B21" s="10"/>
      <c r="C21" s="10"/>
      <c r="D21" s="11"/>
      <c r="E21" s="12" t="s">
        <v>20</v>
      </c>
      <c r="F21" s="13"/>
      <c r="G21" s="7">
        <v>1187088</v>
      </c>
      <c r="H21" s="8"/>
      <c r="I21" s="7"/>
      <c r="J21" s="8"/>
      <c r="K21" s="4"/>
      <c r="L21" s="7"/>
      <c r="M21" s="8"/>
      <c r="N21" s="7"/>
      <c r="O21" s="8"/>
    </row>
    <row r="22" spans="1:25" s="3" customFormat="1" x14ac:dyDescent="0.25">
      <c r="A22" s="9"/>
      <c r="B22" s="10"/>
      <c r="C22" s="10"/>
      <c r="D22" s="11"/>
      <c r="E22" s="12" t="s">
        <v>20</v>
      </c>
      <c r="F22" s="13"/>
      <c r="G22" s="7">
        <v>1187089</v>
      </c>
      <c r="H22" s="8"/>
      <c r="I22" s="7"/>
      <c r="J22" s="8"/>
      <c r="K22" s="4"/>
      <c r="L22" s="7"/>
      <c r="M22" s="8"/>
      <c r="N22" s="7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9"/>
      <c r="B23" s="10"/>
      <c r="C23" s="10"/>
      <c r="D23" s="11"/>
      <c r="E23" s="12" t="s">
        <v>20</v>
      </c>
      <c r="F23" s="13"/>
      <c r="G23" s="7">
        <v>1187090</v>
      </c>
      <c r="H23" s="8"/>
      <c r="I23" s="7"/>
      <c r="J23" s="8"/>
      <c r="K23" s="4"/>
      <c r="L23" s="7"/>
      <c r="M23" s="8"/>
      <c r="N23" s="7"/>
      <c r="O23" s="8"/>
    </row>
    <row r="24" spans="1:25" x14ac:dyDescent="0.25">
      <c r="A24" s="9"/>
      <c r="B24" s="10"/>
      <c r="C24" s="10"/>
      <c r="D24" s="11"/>
      <c r="E24" s="12" t="s">
        <v>20</v>
      </c>
      <c r="F24" s="13"/>
      <c r="G24" s="7">
        <v>1187091</v>
      </c>
      <c r="H24" s="8"/>
      <c r="I24" s="7"/>
      <c r="J24" s="8"/>
      <c r="K24" s="4"/>
      <c r="L24" s="7"/>
      <c r="M24" s="8"/>
      <c r="N24" s="7"/>
      <c r="O24" s="8"/>
    </row>
    <row r="25" spans="1:25" x14ac:dyDescent="0.25">
      <c r="A25" s="9"/>
      <c r="B25" s="10"/>
      <c r="C25" s="10"/>
      <c r="D25" s="11"/>
      <c r="E25" s="12" t="s">
        <v>20</v>
      </c>
      <c r="F25" s="13"/>
      <c r="G25" s="7">
        <v>1187092</v>
      </c>
      <c r="H25" s="8"/>
      <c r="I25" s="7"/>
      <c r="J25" s="8"/>
      <c r="K25" s="4"/>
      <c r="L25" s="7"/>
      <c r="M25" s="8"/>
      <c r="N25" s="7"/>
      <c r="O25" s="8"/>
    </row>
    <row r="26" spans="1:25" x14ac:dyDescent="0.25">
      <c r="A26" s="9"/>
      <c r="B26" s="10"/>
      <c r="C26" s="10"/>
      <c r="D26" s="11"/>
      <c r="E26" s="12" t="s">
        <v>20</v>
      </c>
      <c r="F26" s="13"/>
      <c r="G26" s="7">
        <v>1187093</v>
      </c>
      <c r="H26" s="8"/>
      <c r="I26" s="7"/>
      <c r="J26" s="8"/>
      <c r="K26" s="4"/>
      <c r="L26" s="7"/>
      <c r="M26" s="8"/>
      <c r="N26" s="7"/>
      <c r="O26" s="8"/>
    </row>
    <row r="27" spans="1:25" x14ac:dyDescent="0.25">
      <c r="A27" s="9"/>
      <c r="B27" s="10"/>
      <c r="C27" s="10"/>
      <c r="D27" s="11"/>
      <c r="E27" s="12" t="s">
        <v>20</v>
      </c>
      <c r="F27" s="13"/>
      <c r="G27" s="7">
        <v>1187094</v>
      </c>
      <c r="H27" s="8"/>
      <c r="I27" s="7"/>
      <c r="J27" s="8"/>
      <c r="K27" s="4"/>
      <c r="L27" s="7"/>
      <c r="M27" s="8"/>
      <c r="N27" s="7"/>
      <c r="O27" s="8"/>
    </row>
    <row r="28" spans="1:25" x14ac:dyDescent="0.25">
      <c r="A28" s="9" t="s">
        <v>21</v>
      </c>
      <c r="B28" s="10"/>
      <c r="C28" s="10"/>
      <c r="D28" s="11"/>
      <c r="E28" s="12" t="s">
        <v>20</v>
      </c>
      <c r="F28" s="13"/>
      <c r="G28" s="7">
        <v>1187095</v>
      </c>
      <c r="H28" s="8"/>
      <c r="I28" s="7"/>
      <c r="J28" s="8"/>
      <c r="K28" s="4"/>
      <c r="L28" s="7"/>
      <c r="M28" s="8"/>
      <c r="N28" s="7"/>
      <c r="O28" s="8"/>
    </row>
    <row r="29" spans="1:25" x14ac:dyDescent="0.25">
      <c r="A29" s="9"/>
      <c r="B29" s="10"/>
      <c r="C29" s="10"/>
      <c r="D29" s="11"/>
      <c r="E29" s="12" t="s">
        <v>20</v>
      </c>
      <c r="F29" s="13"/>
      <c r="G29" s="7">
        <v>1187096</v>
      </c>
      <c r="H29" s="8"/>
      <c r="I29" s="7">
        <v>8</v>
      </c>
      <c r="J29" s="8"/>
      <c r="K29" s="4">
        <v>391</v>
      </c>
      <c r="L29" s="7">
        <v>8.08</v>
      </c>
      <c r="M29" s="8"/>
      <c r="N29" s="7">
        <f>K29*L29</f>
        <v>3159.28</v>
      </c>
      <c r="O29" s="8"/>
    </row>
    <row r="30" spans="1:25" x14ac:dyDescent="0.25">
      <c r="A30" s="9" t="s">
        <v>22</v>
      </c>
      <c r="B30" s="10"/>
      <c r="C30" s="10"/>
      <c r="D30" s="11"/>
      <c r="E30" s="12" t="s">
        <v>23</v>
      </c>
      <c r="F30" s="13"/>
      <c r="G30" s="7">
        <v>1187110</v>
      </c>
      <c r="H30" s="8"/>
      <c r="I30" s="7"/>
      <c r="J30" s="8"/>
      <c r="K30" s="4"/>
      <c r="L30" s="7"/>
      <c r="M30" s="8"/>
      <c r="N30" s="7"/>
      <c r="O30" s="8"/>
    </row>
    <row r="31" spans="1:25" x14ac:dyDescent="0.25">
      <c r="A31" s="9" t="s">
        <v>24</v>
      </c>
      <c r="B31" s="10"/>
      <c r="C31" s="10"/>
      <c r="D31" s="11"/>
      <c r="E31" s="12" t="s">
        <v>23</v>
      </c>
      <c r="F31" s="13"/>
      <c r="G31" s="7">
        <v>1187108</v>
      </c>
      <c r="H31" s="8"/>
      <c r="I31" s="7"/>
      <c r="J31" s="8"/>
      <c r="K31" s="4"/>
      <c r="L31" s="7"/>
      <c r="M31" s="8"/>
      <c r="N31" s="7"/>
      <c r="O31" s="8"/>
    </row>
    <row r="32" spans="1:25" x14ac:dyDescent="0.25">
      <c r="A32" s="9"/>
      <c r="B32" s="10"/>
      <c r="C32" s="10"/>
      <c r="D32" s="11"/>
      <c r="E32" s="12" t="s">
        <v>23</v>
      </c>
      <c r="F32" s="13"/>
      <c r="G32" s="7">
        <v>1187109</v>
      </c>
      <c r="H32" s="8"/>
      <c r="I32" s="7"/>
      <c r="J32" s="8"/>
      <c r="K32" s="4"/>
      <c r="L32" s="7"/>
      <c r="M32" s="8"/>
      <c r="N32" s="7"/>
      <c r="O32" s="8"/>
    </row>
    <row r="33" spans="1:15" x14ac:dyDescent="0.25">
      <c r="A33" s="9" t="s">
        <v>25</v>
      </c>
      <c r="B33" s="10"/>
      <c r="C33" s="10"/>
      <c r="D33" s="11"/>
      <c r="E33" s="12" t="s">
        <v>23</v>
      </c>
      <c r="F33" s="13"/>
      <c r="G33" s="7">
        <v>1187107</v>
      </c>
      <c r="H33" s="8"/>
      <c r="I33" s="7"/>
      <c r="J33" s="8"/>
      <c r="K33" s="4"/>
      <c r="L33" s="7"/>
      <c r="M33" s="8"/>
      <c r="N33" s="7"/>
      <c r="O33" s="8"/>
    </row>
    <row r="34" spans="1:15" x14ac:dyDescent="0.25">
      <c r="A34" s="9" t="s">
        <v>26</v>
      </c>
      <c r="B34" s="10"/>
      <c r="C34" s="10"/>
      <c r="D34" s="11"/>
      <c r="E34" s="12" t="s">
        <v>23</v>
      </c>
      <c r="F34" s="13"/>
      <c r="G34" s="7">
        <v>1135974800</v>
      </c>
      <c r="H34" s="8"/>
      <c r="I34" s="7"/>
      <c r="J34" s="8"/>
      <c r="K34" s="4"/>
      <c r="L34" s="7"/>
      <c r="M34" s="8"/>
      <c r="N34" s="7"/>
      <c r="O34" s="8"/>
    </row>
    <row r="35" spans="1:15" x14ac:dyDescent="0.25">
      <c r="A35" s="9"/>
      <c r="B35" s="10"/>
      <c r="C35" s="10"/>
      <c r="D35" s="11"/>
      <c r="E35" s="12" t="s">
        <v>23</v>
      </c>
      <c r="F35" s="13"/>
      <c r="G35" s="7">
        <v>1135974500</v>
      </c>
      <c r="H35" s="8"/>
      <c r="I35" s="7"/>
      <c r="J35" s="8"/>
      <c r="K35" s="4"/>
      <c r="L35" s="7"/>
      <c r="M35" s="8"/>
      <c r="N35" s="7"/>
      <c r="O35" s="8"/>
    </row>
    <row r="36" spans="1:15" s="1" customFormat="1" x14ac:dyDescent="0.25">
      <c r="A36" s="9"/>
      <c r="B36" s="10"/>
      <c r="C36" s="10"/>
      <c r="D36" s="11"/>
      <c r="E36" s="12" t="s">
        <v>23</v>
      </c>
      <c r="F36" s="13"/>
      <c r="G36" s="7">
        <v>1135974600</v>
      </c>
      <c r="H36" s="8"/>
      <c r="I36" s="7"/>
      <c r="J36" s="8"/>
      <c r="K36" s="4"/>
      <c r="L36" s="7"/>
      <c r="M36" s="8"/>
      <c r="N36" s="7"/>
      <c r="O36" s="8"/>
    </row>
    <row r="37" spans="1:15" s="1" customFormat="1" x14ac:dyDescent="0.25">
      <c r="A37" s="9"/>
      <c r="B37" s="10"/>
      <c r="C37" s="10"/>
      <c r="D37" s="11"/>
      <c r="E37" s="12" t="s">
        <v>23</v>
      </c>
      <c r="F37" s="13"/>
      <c r="G37" s="7">
        <v>1135975000</v>
      </c>
      <c r="H37" s="8"/>
      <c r="I37" s="7"/>
      <c r="J37" s="8"/>
      <c r="K37" s="4"/>
      <c r="L37" s="7"/>
      <c r="M37" s="8"/>
      <c r="N37" s="7"/>
      <c r="O37" s="8"/>
    </row>
    <row r="38" spans="1:15" x14ac:dyDescent="0.25">
      <c r="A38" s="9"/>
      <c r="B38" s="10"/>
      <c r="C38" s="10"/>
      <c r="D38" s="11"/>
      <c r="E38" s="12" t="s">
        <v>23</v>
      </c>
      <c r="F38" s="13"/>
      <c r="G38" s="7">
        <v>1135974900</v>
      </c>
      <c r="H38" s="8"/>
      <c r="I38" s="7"/>
      <c r="J38" s="8"/>
      <c r="K38" s="4"/>
      <c r="L38" s="7"/>
      <c r="M38" s="8"/>
      <c r="N38" s="7"/>
      <c r="O38" s="8"/>
    </row>
    <row r="39" spans="1:15" x14ac:dyDescent="0.25">
      <c r="A39" s="9"/>
      <c r="B39" s="10"/>
      <c r="C39" s="10"/>
      <c r="D39" s="11"/>
      <c r="E39" s="12" t="s">
        <v>23</v>
      </c>
      <c r="F39" s="13"/>
      <c r="G39" s="7">
        <v>1135974700</v>
      </c>
      <c r="H39" s="8"/>
      <c r="I39" s="7">
        <v>8</v>
      </c>
      <c r="J39" s="8"/>
      <c r="K39" s="4">
        <v>439</v>
      </c>
      <c r="L39" s="7">
        <v>8.08</v>
      </c>
      <c r="M39" s="8"/>
      <c r="N39" s="7">
        <f>K39*L39</f>
        <v>3547.12</v>
      </c>
      <c r="O39" s="8"/>
    </row>
    <row r="40" spans="1:15" x14ac:dyDescent="0.25">
      <c r="A40" s="9" t="s">
        <v>27</v>
      </c>
      <c r="B40" s="10"/>
      <c r="C40" s="10"/>
      <c r="D40" s="11"/>
      <c r="E40" s="12" t="s">
        <v>28</v>
      </c>
      <c r="F40" s="13"/>
      <c r="G40" s="7">
        <v>1136014000</v>
      </c>
      <c r="H40" s="8"/>
      <c r="I40" s="7"/>
      <c r="J40" s="8"/>
      <c r="K40" s="4"/>
      <c r="L40" s="7"/>
      <c r="M40" s="8"/>
      <c r="N40" s="7"/>
      <c r="O40" s="8"/>
    </row>
    <row r="41" spans="1:15" x14ac:dyDescent="0.25">
      <c r="A41" s="9"/>
      <c r="B41" s="10"/>
      <c r="C41" s="10"/>
      <c r="D41" s="11"/>
      <c r="E41" s="12" t="s">
        <v>28</v>
      </c>
      <c r="F41" s="13"/>
      <c r="G41" s="7">
        <v>1136013900</v>
      </c>
      <c r="H41" s="8"/>
      <c r="I41" s="7"/>
      <c r="J41" s="8"/>
      <c r="K41" s="4"/>
      <c r="L41" s="7"/>
      <c r="M41" s="8"/>
      <c r="N41" s="7"/>
      <c r="O41" s="8"/>
    </row>
    <row r="42" spans="1:15" x14ac:dyDescent="0.25">
      <c r="A42" s="9"/>
      <c r="B42" s="10"/>
      <c r="C42" s="10"/>
      <c r="D42" s="11"/>
      <c r="E42" s="12" t="s">
        <v>28</v>
      </c>
      <c r="F42" s="13"/>
      <c r="G42" s="7">
        <v>1136013800</v>
      </c>
      <c r="H42" s="8"/>
      <c r="I42" s="7"/>
      <c r="J42" s="8"/>
      <c r="K42" s="4"/>
      <c r="L42" s="7"/>
      <c r="M42" s="8"/>
      <c r="N42" s="7"/>
      <c r="O42" s="8"/>
    </row>
    <row r="43" spans="1:15" x14ac:dyDescent="0.25">
      <c r="A43" s="9" t="s">
        <v>24</v>
      </c>
      <c r="B43" s="10"/>
      <c r="C43" s="10"/>
      <c r="D43" s="11"/>
      <c r="E43" s="12" t="s">
        <v>28</v>
      </c>
      <c r="F43" s="13"/>
      <c r="G43" s="7">
        <v>1187134</v>
      </c>
      <c r="H43" s="8"/>
      <c r="I43" s="7"/>
      <c r="J43" s="8"/>
      <c r="K43" s="4"/>
      <c r="L43" s="7"/>
      <c r="M43" s="8"/>
      <c r="N43" s="7"/>
      <c r="O43" s="8"/>
    </row>
    <row r="44" spans="1:15" x14ac:dyDescent="0.25">
      <c r="A44" s="9" t="s">
        <v>24</v>
      </c>
      <c r="B44" s="10"/>
      <c r="C44" s="10"/>
      <c r="D44" s="11"/>
      <c r="E44" s="12" t="s">
        <v>28</v>
      </c>
      <c r="F44" s="13"/>
      <c r="G44" s="7">
        <v>1187131</v>
      </c>
      <c r="H44" s="8"/>
      <c r="I44" s="7"/>
      <c r="J44" s="8"/>
      <c r="K44" s="4"/>
      <c r="L44" s="7"/>
      <c r="M44" s="8"/>
      <c r="N44" s="7"/>
      <c r="O44" s="8"/>
    </row>
    <row r="45" spans="1:15" x14ac:dyDescent="0.25">
      <c r="A45" s="9" t="s">
        <v>24</v>
      </c>
      <c r="B45" s="10"/>
      <c r="C45" s="10"/>
      <c r="D45" s="11"/>
      <c r="E45" s="12" t="s">
        <v>28</v>
      </c>
      <c r="F45" s="13"/>
      <c r="G45" s="7">
        <v>1187132</v>
      </c>
      <c r="H45" s="8"/>
      <c r="I45" s="7"/>
      <c r="J45" s="8"/>
      <c r="K45" s="4"/>
      <c r="L45" s="7"/>
      <c r="M45" s="8"/>
      <c r="N45" s="7"/>
      <c r="O45" s="8"/>
    </row>
    <row r="46" spans="1:15" x14ac:dyDescent="0.25">
      <c r="A46" s="9" t="s">
        <v>24</v>
      </c>
      <c r="B46" s="10"/>
      <c r="C46" s="10"/>
      <c r="D46" s="11"/>
      <c r="E46" s="12" t="s">
        <v>28</v>
      </c>
      <c r="F46" s="13"/>
      <c r="G46" s="7">
        <v>1187133</v>
      </c>
      <c r="H46" s="8"/>
      <c r="I46" s="7"/>
      <c r="J46" s="8"/>
      <c r="K46" s="4"/>
      <c r="L46" s="7"/>
      <c r="M46" s="8"/>
      <c r="N46" s="7"/>
      <c r="O46" s="8"/>
    </row>
    <row r="47" spans="1:15" x14ac:dyDescent="0.25">
      <c r="A47" s="9" t="s">
        <v>29</v>
      </c>
      <c r="B47" s="10"/>
      <c r="C47" s="10"/>
      <c r="D47" s="11"/>
      <c r="E47" s="12" t="s">
        <v>28</v>
      </c>
      <c r="F47" s="13"/>
      <c r="G47" s="7">
        <v>1187135</v>
      </c>
      <c r="H47" s="8"/>
      <c r="I47" s="7"/>
      <c r="J47" s="8"/>
      <c r="K47" s="4"/>
      <c r="L47" s="7"/>
      <c r="M47" s="8"/>
      <c r="N47" s="7"/>
      <c r="O47" s="8"/>
    </row>
    <row r="48" spans="1:15" x14ac:dyDescent="0.25">
      <c r="A48" s="9" t="s">
        <v>30</v>
      </c>
      <c r="B48" s="10"/>
      <c r="C48" s="10"/>
      <c r="D48" s="11"/>
      <c r="E48" s="12" t="s">
        <v>28</v>
      </c>
      <c r="F48" s="13"/>
      <c r="G48" s="7">
        <v>1187129</v>
      </c>
      <c r="H48" s="8"/>
      <c r="I48" s="7"/>
      <c r="J48" s="8"/>
      <c r="K48" s="4"/>
      <c r="L48" s="7"/>
      <c r="M48" s="8"/>
      <c r="N48" s="7"/>
      <c r="O48" s="8"/>
    </row>
    <row r="49" spans="1:15" x14ac:dyDescent="0.25">
      <c r="A49" s="9"/>
      <c r="B49" s="10"/>
      <c r="C49" s="10"/>
      <c r="D49" s="11"/>
      <c r="E49" s="12" t="s">
        <v>28</v>
      </c>
      <c r="F49" s="13"/>
      <c r="G49" s="7">
        <v>1187130</v>
      </c>
      <c r="H49" s="8"/>
      <c r="I49" s="7"/>
      <c r="J49" s="8"/>
      <c r="K49" s="4"/>
      <c r="L49" s="7"/>
      <c r="M49" s="8"/>
      <c r="N49" s="7"/>
      <c r="O49" s="8"/>
    </row>
    <row r="50" spans="1:15" x14ac:dyDescent="0.25">
      <c r="A50" s="9"/>
      <c r="B50" s="10"/>
      <c r="C50" s="10"/>
      <c r="D50" s="11"/>
      <c r="E50" s="12" t="s">
        <v>28</v>
      </c>
      <c r="F50" s="13"/>
      <c r="G50" s="7">
        <v>1187128</v>
      </c>
      <c r="H50" s="8"/>
      <c r="I50" s="7"/>
      <c r="J50" s="8"/>
      <c r="K50" s="4"/>
      <c r="L50" s="7"/>
      <c r="M50" s="8"/>
      <c r="N50" s="7"/>
      <c r="O50" s="8"/>
    </row>
    <row r="51" spans="1:15" x14ac:dyDescent="0.25">
      <c r="A51" s="9"/>
      <c r="B51" s="10"/>
      <c r="C51" s="10"/>
      <c r="D51" s="11"/>
      <c r="E51" s="12" t="s">
        <v>28</v>
      </c>
      <c r="F51" s="13"/>
      <c r="G51" s="7">
        <v>1187127</v>
      </c>
      <c r="H51" s="8"/>
      <c r="I51" s="7"/>
      <c r="J51" s="8"/>
      <c r="K51" s="4"/>
      <c r="L51" s="7"/>
      <c r="M51" s="8"/>
      <c r="N51" s="7"/>
      <c r="O51" s="8"/>
    </row>
    <row r="52" spans="1:15" x14ac:dyDescent="0.25">
      <c r="A52" s="9" t="s">
        <v>14</v>
      </c>
      <c r="B52" s="10"/>
      <c r="C52" s="10"/>
      <c r="D52" s="11"/>
      <c r="E52" s="12" t="s">
        <v>28</v>
      </c>
      <c r="F52" s="13"/>
      <c r="G52" s="7">
        <v>1187126</v>
      </c>
      <c r="H52" s="8"/>
      <c r="I52" s="7"/>
      <c r="J52" s="8"/>
      <c r="K52" s="4"/>
      <c r="L52" s="7"/>
      <c r="M52" s="8"/>
      <c r="N52" s="7"/>
      <c r="O52" s="8"/>
    </row>
    <row r="53" spans="1:15" x14ac:dyDescent="0.25">
      <c r="A53" s="9"/>
      <c r="B53" s="10"/>
      <c r="C53" s="10"/>
      <c r="D53" s="11"/>
      <c r="E53" s="12" t="s">
        <v>28</v>
      </c>
      <c r="F53" s="13"/>
      <c r="G53" s="7">
        <v>1187125</v>
      </c>
      <c r="H53" s="8"/>
      <c r="I53" s="7"/>
      <c r="J53" s="8"/>
      <c r="K53" s="4"/>
      <c r="L53" s="7"/>
      <c r="M53" s="8"/>
      <c r="N53" s="7"/>
      <c r="O53" s="8"/>
    </row>
    <row r="54" spans="1:15" x14ac:dyDescent="0.25">
      <c r="A54" s="9"/>
      <c r="B54" s="10"/>
      <c r="C54" s="10"/>
      <c r="D54" s="11"/>
      <c r="E54" s="12" t="s">
        <v>28</v>
      </c>
      <c r="F54" s="13"/>
      <c r="G54" s="7">
        <v>1187125</v>
      </c>
      <c r="H54" s="8"/>
      <c r="I54" s="7"/>
      <c r="J54" s="8"/>
      <c r="K54" s="4"/>
      <c r="L54" s="7"/>
      <c r="M54" s="8"/>
      <c r="N54" s="7"/>
      <c r="O54" s="8"/>
    </row>
    <row r="55" spans="1:15" x14ac:dyDescent="0.25">
      <c r="A55" s="9" t="s">
        <v>31</v>
      </c>
      <c r="B55" s="10"/>
      <c r="C55" s="10"/>
      <c r="D55" s="11"/>
      <c r="E55" s="12" t="s">
        <v>28</v>
      </c>
      <c r="F55" s="13"/>
      <c r="G55" s="7">
        <v>1187122</v>
      </c>
      <c r="H55" s="8"/>
      <c r="I55" s="7">
        <v>42</v>
      </c>
      <c r="J55" s="8"/>
      <c r="K55" s="4">
        <v>427</v>
      </c>
      <c r="L55" s="7">
        <v>10.25</v>
      </c>
      <c r="M55" s="8"/>
      <c r="N55" s="7">
        <f>K55*L55</f>
        <v>4376.75</v>
      </c>
      <c r="O55" s="8"/>
    </row>
    <row r="56" spans="1:15" x14ac:dyDescent="0.25">
      <c r="A56" s="9" t="s">
        <v>13</v>
      </c>
      <c r="B56" s="10"/>
      <c r="C56" s="10"/>
      <c r="D56" s="11"/>
      <c r="E56" s="12" t="s">
        <v>32</v>
      </c>
      <c r="F56" s="13"/>
      <c r="G56" s="7">
        <v>1187178</v>
      </c>
      <c r="H56" s="8"/>
      <c r="I56" s="7"/>
      <c r="J56" s="8"/>
      <c r="K56" s="4"/>
      <c r="L56" s="7"/>
      <c r="M56" s="8"/>
      <c r="N56" s="7"/>
      <c r="O56" s="8"/>
    </row>
    <row r="57" spans="1:15" x14ac:dyDescent="0.25">
      <c r="A57" s="9" t="s">
        <v>33</v>
      </c>
      <c r="B57" s="10"/>
      <c r="C57" s="10"/>
      <c r="D57" s="11"/>
      <c r="E57" s="12" t="s">
        <v>32</v>
      </c>
      <c r="F57" s="13"/>
      <c r="G57" s="7">
        <v>1187165</v>
      </c>
      <c r="H57" s="8"/>
      <c r="I57" s="7"/>
      <c r="J57" s="8"/>
      <c r="K57" s="4"/>
      <c r="L57" s="7"/>
      <c r="M57" s="8"/>
      <c r="N57" s="7"/>
      <c r="O57" s="8"/>
    </row>
    <row r="58" spans="1:15" x14ac:dyDescent="0.25">
      <c r="A58" s="9"/>
      <c r="B58" s="10"/>
      <c r="C58" s="10"/>
      <c r="D58" s="11"/>
      <c r="E58" s="12" t="s">
        <v>32</v>
      </c>
      <c r="F58" s="13"/>
      <c r="G58" s="7">
        <v>1187164</v>
      </c>
      <c r="H58" s="8"/>
      <c r="I58" s="7"/>
      <c r="J58" s="8"/>
      <c r="K58" s="4"/>
      <c r="L58" s="7"/>
      <c r="M58" s="8"/>
      <c r="N58" s="7"/>
      <c r="O58" s="8"/>
    </row>
    <row r="59" spans="1:15" x14ac:dyDescent="0.25">
      <c r="A59" s="9"/>
      <c r="B59" s="10"/>
      <c r="C59" s="10"/>
      <c r="D59" s="11"/>
      <c r="E59" s="12" t="s">
        <v>32</v>
      </c>
      <c r="F59" s="13"/>
      <c r="G59" s="7">
        <v>1187171</v>
      </c>
      <c r="H59" s="8"/>
      <c r="I59" s="7"/>
      <c r="J59" s="8"/>
      <c r="K59" s="4"/>
      <c r="L59" s="7"/>
      <c r="M59" s="8"/>
      <c r="N59" s="7"/>
      <c r="O59" s="8"/>
    </row>
    <row r="60" spans="1:15" x14ac:dyDescent="0.25">
      <c r="A60" s="9"/>
      <c r="B60" s="10"/>
      <c r="C60" s="10"/>
      <c r="D60" s="11"/>
      <c r="E60" s="12" t="s">
        <v>32</v>
      </c>
      <c r="F60" s="13"/>
      <c r="G60" s="7">
        <v>1187172</v>
      </c>
      <c r="H60" s="8"/>
      <c r="I60" s="7"/>
      <c r="J60" s="8"/>
      <c r="K60" s="4"/>
      <c r="L60" s="7"/>
      <c r="M60" s="8"/>
      <c r="N60" s="7"/>
      <c r="O60" s="8"/>
    </row>
    <row r="61" spans="1:15" x14ac:dyDescent="0.25">
      <c r="A61" s="9"/>
      <c r="B61" s="10"/>
      <c r="C61" s="10"/>
      <c r="D61" s="11"/>
      <c r="E61" s="12" t="s">
        <v>32</v>
      </c>
      <c r="F61" s="13"/>
      <c r="G61" s="7">
        <v>1187170</v>
      </c>
      <c r="H61" s="8"/>
      <c r="I61" s="7"/>
      <c r="J61" s="8"/>
      <c r="K61" s="4"/>
      <c r="L61" s="7"/>
      <c r="M61" s="8"/>
      <c r="N61" s="7"/>
      <c r="O61" s="8"/>
    </row>
    <row r="62" spans="1:15" x14ac:dyDescent="0.25">
      <c r="A62" s="9"/>
      <c r="B62" s="10"/>
      <c r="C62" s="10"/>
      <c r="D62" s="11"/>
      <c r="E62" s="12" t="s">
        <v>32</v>
      </c>
      <c r="F62" s="13"/>
      <c r="G62" s="7">
        <v>1187173</v>
      </c>
      <c r="H62" s="8"/>
      <c r="I62" s="7"/>
      <c r="J62" s="8"/>
      <c r="K62" s="4"/>
      <c r="L62" s="7"/>
      <c r="M62" s="8"/>
      <c r="N62" s="7"/>
      <c r="O62" s="8"/>
    </row>
    <row r="63" spans="1:15" x14ac:dyDescent="0.25">
      <c r="A63" s="9"/>
      <c r="B63" s="10"/>
      <c r="C63" s="10"/>
      <c r="D63" s="11"/>
      <c r="E63" s="12" t="s">
        <v>32</v>
      </c>
      <c r="F63" s="13"/>
      <c r="G63" s="7">
        <v>1187166</v>
      </c>
      <c r="H63" s="8"/>
      <c r="I63" s="7"/>
      <c r="J63" s="8"/>
      <c r="K63" s="4"/>
      <c r="L63" s="7"/>
      <c r="M63" s="8"/>
      <c r="N63" s="7"/>
      <c r="O63" s="8"/>
    </row>
    <row r="64" spans="1:15" x14ac:dyDescent="0.25">
      <c r="A64" s="9"/>
      <c r="B64" s="10"/>
      <c r="C64" s="10"/>
      <c r="D64" s="11"/>
      <c r="E64" s="12" t="s">
        <v>32</v>
      </c>
      <c r="F64" s="13"/>
      <c r="G64" s="7">
        <v>1187168</v>
      </c>
      <c r="H64" s="8"/>
      <c r="I64" s="7"/>
      <c r="J64" s="8"/>
      <c r="K64" s="4"/>
      <c r="L64" s="7"/>
      <c r="M64" s="8"/>
      <c r="N64" s="7"/>
      <c r="O64" s="8"/>
    </row>
    <row r="65" spans="1:15" x14ac:dyDescent="0.25">
      <c r="A65" s="9"/>
      <c r="B65" s="10"/>
      <c r="C65" s="10"/>
      <c r="D65" s="11"/>
      <c r="E65" s="12" t="s">
        <v>32</v>
      </c>
      <c r="F65" s="13"/>
      <c r="G65" s="7">
        <v>1187167</v>
      </c>
      <c r="H65" s="8"/>
      <c r="I65" s="7"/>
      <c r="J65" s="8"/>
      <c r="K65" s="4"/>
      <c r="L65" s="7"/>
      <c r="M65" s="8"/>
      <c r="N65" s="7"/>
      <c r="O65" s="8"/>
    </row>
    <row r="66" spans="1:15" x14ac:dyDescent="0.25">
      <c r="A66" s="9"/>
      <c r="B66" s="10"/>
      <c r="C66" s="10"/>
      <c r="D66" s="11"/>
      <c r="E66" s="12" t="s">
        <v>32</v>
      </c>
      <c r="F66" s="13"/>
      <c r="G66" s="7">
        <v>1187169</v>
      </c>
      <c r="H66" s="8"/>
      <c r="I66" s="7"/>
      <c r="J66" s="8"/>
      <c r="K66" s="4"/>
      <c r="L66" s="7"/>
      <c r="M66" s="8"/>
      <c r="N66" s="7"/>
      <c r="O66" s="8"/>
    </row>
    <row r="67" spans="1:15" x14ac:dyDescent="0.25">
      <c r="A67" s="9" t="s">
        <v>34</v>
      </c>
      <c r="B67" s="10"/>
      <c r="C67" s="10"/>
      <c r="D67" s="11"/>
      <c r="E67" s="12" t="s">
        <v>32</v>
      </c>
      <c r="F67" s="13"/>
      <c r="G67" s="7">
        <v>1187176</v>
      </c>
      <c r="H67" s="8"/>
      <c r="I67" s="7"/>
      <c r="J67" s="8"/>
      <c r="K67" s="4"/>
      <c r="L67" s="7"/>
      <c r="M67" s="8"/>
      <c r="N67" s="7"/>
      <c r="O67" s="8"/>
    </row>
    <row r="68" spans="1:15" x14ac:dyDescent="0.25">
      <c r="A68" s="9"/>
      <c r="B68" s="10"/>
      <c r="C68" s="10"/>
      <c r="D68" s="11"/>
      <c r="E68" s="12" t="s">
        <v>32</v>
      </c>
      <c r="F68" s="13"/>
      <c r="G68" s="7">
        <v>1187174</v>
      </c>
      <c r="H68" s="8"/>
      <c r="I68" s="7"/>
      <c r="J68" s="8"/>
      <c r="K68" s="4"/>
      <c r="L68" s="7"/>
      <c r="M68" s="8"/>
      <c r="N68" s="7"/>
      <c r="O68" s="8"/>
    </row>
    <row r="69" spans="1:15" x14ac:dyDescent="0.25">
      <c r="A69" s="9"/>
      <c r="B69" s="10"/>
      <c r="C69" s="10"/>
      <c r="D69" s="11"/>
      <c r="E69" s="12" t="s">
        <v>32</v>
      </c>
      <c r="F69" s="13"/>
      <c r="G69" s="7">
        <v>1187175</v>
      </c>
      <c r="H69" s="8"/>
      <c r="I69" s="7"/>
      <c r="J69" s="8"/>
      <c r="K69" s="4"/>
      <c r="L69" s="7"/>
      <c r="M69" s="8"/>
      <c r="N69" s="7"/>
      <c r="O69" s="8"/>
    </row>
    <row r="70" spans="1:15" x14ac:dyDescent="0.25">
      <c r="A70" s="9"/>
      <c r="B70" s="10"/>
      <c r="C70" s="10"/>
      <c r="D70" s="11"/>
      <c r="E70" s="12" t="s">
        <v>32</v>
      </c>
      <c r="F70" s="13"/>
      <c r="G70" s="7">
        <v>1187177</v>
      </c>
      <c r="H70" s="8"/>
      <c r="I70" s="7"/>
      <c r="J70" s="8"/>
      <c r="K70" s="4"/>
      <c r="L70" s="7"/>
      <c r="M70" s="8"/>
      <c r="N70" s="7"/>
      <c r="O70" s="8"/>
    </row>
    <row r="71" spans="1:15" x14ac:dyDescent="0.25">
      <c r="A71" s="9"/>
      <c r="B71" s="10"/>
      <c r="C71" s="10"/>
      <c r="D71" s="11"/>
      <c r="E71" s="12" t="s">
        <v>32</v>
      </c>
      <c r="F71" s="13"/>
      <c r="G71" s="7">
        <v>1187179</v>
      </c>
      <c r="H71" s="8"/>
      <c r="I71" s="7">
        <v>8</v>
      </c>
      <c r="J71" s="8"/>
      <c r="K71" s="4">
        <v>350</v>
      </c>
      <c r="L71" s="7">
        <v>8.08</v>
      </c>
      <c r="M71" s="8"/>
      <c r="N71" s="7">
        <f>K71*L71</f>
        <v>2828</v>
      </c>
      <c r="O71" s="8"/>
    </row>
    <row r="72" spans="1:15" x14ac:dyDescent="0.25">
      <c r="A72" s="9" t="s">
        <v>21</v>
      </c>
      <c r="B72" s="10"/>
      <c r="C72" s="10"/>
      <c r="D72" s="11"/>
      <c r="E72" s="12" t="s">
        <v>35</v>
      </c>
      <c r="F72" s="13"/>
      <c r="G72" s="7">
        <v>1187202</v>
      </c>
      <c r="H72" s="8"/>
      <c r="I72" s="7"/>
      <c r="J72" s="8"/>
      <c r="K72" s="4"/>
      <c r="L72" s="7"/>
      <c r="M72" s="8"/>
      <c r="N72" s="7"/>
      <c r="O72" s="8"/>
    </row>
    <row r="73" spans="1:15" x14ac:dyDescent="0.25">
      <c r="A73" s="9"/>
      <c r="B73" s="10"/>
      <c r="C73" s="10"/>
      <c r="D73" s="11"/>
      <c r="E73" s="12" t="s">
        <v>35</v>
      </c>
      <c r="F73" s="13"/>
      <c r="G73" s="7">
        <v>1187203</v>
      </c>
      <c r="H73" s="8"/>
      <c r="I73" s="7"/>
      <c r="J73" s="8"/>
      <c r="K73" s="4"/>
      <c r="L73" s="7"/>
      <c r="M73" s="8"/>
      <c r="N73" s="7"/>
      <c r="O73" s="8"/>
    </row>
    <row r="74" spans="1:15" x14ac:dyDescent="0.25">
      <c r="A74" s="9"/>
      <c r="B74" s="10"/>
      <c r="C74" s="10"/>
      <c r="D74" s="11"/>
      <c r="E74" s="12" t="s">
        <v>35</v>
      </c>
      <c r="F74" s="13"/>
      <c r="G74" s="7">
        <v>1187204</v>
      </c>
      <c r="H74" s="8"/>
      <c r="I74" s="7"/>
      <c r="J74" s="8"/>
      <c r="K74" s="4"/>
      <c r="L74" s="7"/>
      <c r="M74" s="8"/>
      <c r="N74" s="7"/>
      <c r="O74" s="8"/>
    </row>
    <row r="75" spans="1:15" x14ac:dyDescent="0.25">
      <c r="A75" s="9" t="s">
        <v>14</v>
      </c>
      <c r="B75" s="10"/>
      <c r="C75" s="10"/>
      <c r="D75" s="11"/>
      <c r="E75" s="12" t="s">
        <v>35</v>
      </c>
      <c r="F75" s="13"/>
      <c r="G75" s="7">
        <v>1187205</v>
      </c>
      <c r="H75" s="8"/>
      <c r="I75" s="7">
        <v>8</v>
      </c>
      <c r="J75" s="8"/>
      <c r="K75" s="4">
        <v>388</v>
      </c>
      <c r="L75" s="7">
        <v>8.08</v>
      </c>
      <c r="M75" s="8"/>
      <c r="N75" s="7">
        <f>K75*L75</f>
        <v>3135.04</v>
      </c>
      <c r="O75" s="8"/>
    </row>
    <row r="76" spans="1:15" x14ac:dyDescent="0.25">
      <c r="A76" s="9" t="s">
        <v>10</v>
      </c>
      <c r="B76" s="10"/>
      <c r="C76" s="10"/>
      <c r="D76" s="11"/>
      <c r="E76" s="12" t="s">
        <v>36</v>
      </c>
      <c r="F76" s="13"/>
      <c r="G76" s="7">
        <v>1187222</v>
      </c>
      <c r="H76" s="8"/>
      <c r="I76" s="7"/>
      <c r="J76" s="8"/>
      <c r="K76" s="4"/>
      <c r="L76" s="7"/>
      <c r="M76" s="8"/>
      <c r="N76" s="7"/>
      <c r="O76" s="8"/>
    </row>
    <row r="77" spans="1:15" x14ac:dyDescent="0.25">
      <c r="A77" s="9"/>
      <c r="B77" s="10"/>
      <c r="C77" s="10"/>
      <c r="D77" s="11"/>
      <c r="E77" s="12" t="s">
        <v>36</v>
      </c>
      <c r="F77" s="13"/>
      <c r="G77" s="7">
        <v>1187221</v>
      </c>
      <c r="H77" s="8"/>
      <c r="I77" s="7">
        <v>32</v>
      </c>
      <c r="J77" s="8"/>
      <c r="K77" s="4">
        <v>732</v>
      </c>
      <c r="L77" s="7">
        <v>9.49</v>
      </c>
      <c r="M77" s="8"/>
      <c r="N77" s="7">
        <f>K77*L77</f>
        <v>6946.68</v>
      </c>
      <c r="O77" s="8"/>
    </row>
    <row r="78" spans="1:15" x14ac:dyDescent="0.25">
      <c r="A78" s="9" t="s">
        <v>14</v>
      </c>
      <c r="B78" s="10"/>
      <c r="C78" s="10"/>
      <c r="D78" s="11"/>
      <c r="E78" s="12" t="s">
        <v>37</v>
      </c>
      <c r="F78" s="13"/>
      <c r="G78" s="7">
        <v>1187236</v>
      </c>
      <c r="H78" s="8"/>
      <c r="I78" s="7"/>
      <c r="J78" s="8"/>
      <c r="K78" s="4"/>
      <c r="L78" s="7"/>
      <c r="M78" s="8"/>
      <c r="N78" s="7"/>
      <c r="O78" s="8"/>
    </row>
    <row r="79" spans="1:15" x14ac:dyDescent="0.25">
      <c r="A79" s="9"/>
      <c r="B79" s="10"/>
      <c r="C79" s="10"/>
      <c r="D79" s="11"/>
      <c r="E79" s="12" t="s">
        <v>37</v>
      </c>
      <c r="F79" s="13"/>
      <c r="G79" s="7">
        <v>1187235</v>
      </c>
      <c r="H79" s="8"/>
      <c r="I79" s="7"/>
      <c r="J79" s="8"/>
      <c r="K79" s="4"/>
      <c r="L79" s="7"/>
      <c r="M79" s="8"/>
      <c r="N79" s="7"/>
      <c r="O79" s="8"/>
    </row>
    <row r="80" spans="1:15" x14ac:dyDescent="0.25">
      <c r="A80" s="9" t="s">
        <v>38</v>
      </c>
      <c r="B80" s="10"/>
      <c r="C80" s="10"/>
      <c r="D80" s="11"/>
      <c r="E80" s="12" t="s">
        <v>37</v>
      </c>
      <c r="F80" s="13"/>
      <c r="G80" s="7">
        <v>1187238</v>
      </c>
      <c r="H80" s="8"/>
      <c r="I80" s="7"/>
      <c r="J80" s="8"/>
      <c r="K80" s="4"/>
      <c r="L80" s="7"/>
      <c r="M80" s="8"/>
      <c r="N80" s="7"/>
      <c r="O80" s="8"/>
    </row>
    <row r="81" spans="1:15" x14ac:dyDescent="0.25">
      <c r="A81" s="9" t="s">
        <v>39</v>
      </c>
      <c r="B81" s="10"/>
      <c r="C81" s="10"/>
      <c r="D81" s="11"/>
      <c r="E81" s="12" t="s">
        <v>37</v>
      </c>
      <c r="F81" s="13"/>
      <c r="G81" s="7">
        <v>1187237</v>
      </c>
      <c r="H81" s="8"/>
      <c r="I81" s="7"/>
      <c r="J81" s="8"/>
      <c r="K81" s="4"/>
      <c r="L81" s="7"/>
      <c r="M81" s="8"/>
      <c r="N81" s="7"/>
      <c r="O81" s="8"/>
    </row>
    <row r="82" spans="1:15" x14ac:dyDescent="0.25">
      <c r="A82" s="9" t="s">
        <v>40</v>
      </c>
      <c r="B82" s="10"/>
      <c r="C82" s="10"/>
      <c r="D82" s="11"/>
      <c r="E82" s="12" t="s">
        <v>37</v>
      </c>
      <c r="F82" s="13"/>
      <c r="G82" s="7">
        <v>1187233</v>
      </c>
      <c r="H82" s="8"/>
      <c r="I82" s="7"/>
      <c r="J82" s="8"/>
      <c r="K82" s="4"/>
      <c r="L82" s="7"/>
      <c r="M82" s="8"/>
      <c r="N82" s="7"/>
      <c r="O82" s="8"/>
    </row>
    <row r="83" spans="1:15" x14ac:dyDescent="0.25">
      <c r="A83" s="9"/>
      <c r="B83" s="10"/>
      <c r="C83" s="10"/>
      <c r="D83" s="11"/>
      <c r="E83" s="12" t="s">
        <v>37</v>
      </c>
      <c r="F83" s="13"/>
      <c r="G83" s="7">
        <v>1187234</v>
      </c>
      <c r="H83" s="8"/>
      <c r="I83" s="7">
        <v>44</v>
      </c>
      <c r="J83" s="8"/>
      <c r="K83" s="4">
        <v>363</v>
      </c>
      <c r="L83" s="7">
        <v>10.25</v>
      </c>
      <c r="M83" s="8"/>
      <c r="N83" s="7">
        <f>K83*L83</f>
        <v>3720.75</v>
      </c>
      <c r="O83" s="8"/>
    </row>
    <row r="84" spans="1:15" x14ac:dyDescent="0.25">
      <c r="A84" s="9" t="s">
        <v>10</v>
      </c>
      <c r="B84" s="10"/>
      <c r="C84" s="10"/>
      <c r="D84" s="11"/>
      <c r="E84" s="12" t="s">
        <v>41</v>
      </c>
      <c r="F84" s="13"/>
      <c r="G84" s="7">
        <v>1187245</v>
      </c>
      <c r="H84" s="8"/>
      <c r="I84" s="7"/>
      <c r="J84" s="8"/>
      <c r="K84" s="4"/>
      <c r="L84" s="7"/>
      <c r="M84" s="8"/>
      <c r="N84" s="7"/>
      <c r="O84" s="8"/>
    </row>
    <row r="85" spans="1:15" x14ac:dyDescent="0.25">
      <c r="A85" s="9"/>
      <c r="B85" s="10"/>
      <c r="C85" s="10"/>
      <c r="D85" s="11"/>
      <c r="E85" s="12" t="s">
        <v>41</v>
      </c>
      <c r="F85" s="13"/>
      <c r="G85" s="7">
        <v>1187246</v>
      </c>
      <c r="H85" s="8"/>
      <c r="I85" s="7"/>
      <c r="J85" s="8"/>
      <c r="K85" s="4"/>
      <c r="L85" s="7"/>
      <c r="M85" s="8"/>
      <c r="N85" s="7"/>
      <c r="O85" s="8"/>
    </row>
    <row r="86" spans="1:15" x14ac:dyDescent="0.25">
      <c r="A86" s="9"/>
      <c r="B86" s="10"/>
      <c r="C86" s="10"/>
      <c r="D86" s="11"/>
      <c r="E86" s="12" t="s">
        <v>41</v>
      </c>
      <c r="F86" s="13"/>
      <c r="G86" s="7">
        <v>1187247</v>
      </c>
      <c r="H86" s="8"/>
      <c r="I86" s="7">
        <v>32</v>
      </c>
      <c r="J86" s="8"/>
      <c r="K86" s="4">
        <v>404</v>
      </c>
      <c r="L86" s="7">
        <v>9.49</v>
      </c>
      <c r="M86" s="8"/>
      <c r="N86" s="7">
        <f>K86*L86</f>
        <v>3833.96</v>
      </c>
      <c r="O86" s="8"/>
    </row>
    <row r="87" spans="1:15" x14ac:dyDescent="0.25">
      <c r="A87" s="9" t="s">
        <v>42</v>
      </c>
      <c r="B87" s="10"/>
      <c r="C87" s="10"/>
      <c r="D87" s="11"/>
      <c r="E87" s="12" t="s">
        <v>43</v>
      </c>
      <c r="F87" s="13"/>
      <c r="G87" s="7">
        <v>1187266</v>
      </c>
      <c r="H87" s="8"/>
      <c r="I87" s="7">
        <v>8</v>
      </c>
      <c r="J87" s="8"/>
      <c r="K87" s="4">
        <v>472</v>
      </c>
      <c r="L87" s="7">
        <v>8.08</v>
      </c>
      <c r="M87" s="8"/>
      <c r="N87" s="7">
        <f>K87*L87</f>
        <v>3813.76</v>
      </c>
      <c r="O87" s="8"/>
    </row>
    <row r="88" spans="1:15" x14ac:dyDescent="0.25">
      <c r="A88" s="9" t="s">
        <v>10</v>
      </c>
      <c r="B88" s="10"/>
      <c r="C88" s="10"/>
      <c r="D88" s="11"/>
      <c r="E88" s="12" t="s">
        <v>44</v>
      </c>
      <c r="F88" s="13"/>
      <c r="G88" s="7">
        <v>1187304</v>
      </c>
      <c r="H88" s="8"/>
      <c r="I88" s="7"/>
      <c r="J88" s="8"/>
      <c r="K88" s="4"/>
      <c r="L88" s="7"/>
      <c r="M88" s="8"/>
      <c r="N88" s="7"/>
      <c r="O88" s="8"/>
    </row>
    <row r="89" spans="1:15" x14ac:dyDescent="0.25">
      <c r="A89" s="9"/>
      <c r="B89" s="10"/>
      <c r="C89" s="10"/>
      <c r="D89" s="11"/>
      <c r="E89" s="12" t="s">
        <v>44</v>
      </c>
      <c r="F89" s="13"/>
      <c r="G89" s="7">
        <v>1187305</v>
      </c>
      <c r="H89" s="8"/>
      <c r="I89" s="7"/>
      <c r="J89" s="8"/>
      <c r="K89" s="4"/>
      <c r="L89" s="7"/>
      <c r="M89" s="8"/>
      <c r="N89" s="7"/>
      <c r="O89" s="8"/>
    </row>
    <row r="90" spans="1:15" x14ac:dyDescent="0.25">
      <c r="A90" s="9"/>
      <c r="B90" s="10"/>
      <c r="C90" s="10"/>
      <c r="D90" s="11"/>
      <c r="E90" s="12" t="s">
        <v>44</v>
      </c>
      <c r="F90" s="13"/>
      <c r="G90" s="7">
        <v>1187306</v>
      </c>
      <c r="H90" s="8"/>
      <c r="I90" s="7"/>
      <c r="J90" s="8"/>
      <c r="K90" s="4"/>
      <c r="L90" s="7"/>
      <c r="M90" s="8"/>
      <c r="N90" s="7"/>
      <c r="O90" s="8"/>
    </row>
    <row r="91" spans="1:15" x14ac:dyDescent="0.25">
      <c r="A91" s="9" t="s">
        <v>12</v>
      </c>
      <c r="B91" s="10"/>
      <c r="C91" s="10"/>
      <c r="D91" s="11"/>
      <c r="E91" s="12" t="s">
        <v>44</v>
      </c>
      <c r="F91" s="13"/>
      <c r="G91" s="7">
        <v>1187302</v>
      </c>
      <c r="H91" s="8"/>
      <c r="I91" s="7"/>
      <c r="J91" s="8"/>
      <c r="K91" s="4"/>
      <c r="L91" s="7"/>
      <c r="M91" s="8"/>
      <c r="N91" s="7"/>
      <c r="O91" s="8"/>
    </row>
    <row r="92" spans="1:15" x14ac:dyDescent="0.25">
      <c r="A92" s="9"/>
      <c r="B92" s="10"/>
      <c r="C92" s="10"/>
      <c r="D92" s="11"/>
      <c r="E92" s="12" t="s">
        <v>44</v>
      </c>
      <c r="F92" s="13"/>
      <c r="G92" s="7">
        <v>1187303</v>
      </c>
      <c r="H92" s="8"/>
      <c r="I92" s="7">
        <v>32</v>
      </c>
      <c r="J92" s="8"/>
      <c r="K92" s="4">
        <v>418</v>
      </c>
      <c r="L92" s="7">
        <v>9.49</v>
      </c>
      <c r="M92" s="8"/>
      <c r="N92" s="7">
        <f>K92*L92</f>
        <v>3966.82</v>
      </c>
      <c r="O92" s="8"/>
    </row>
    <row r="93" spans="1:15" x14ac:dyDescent="0.25">
      <c r="A93" s="9" t="s">
        <v>45</v>
      </c>
      <c r="B93" s="10"/>
      <c r="C93" s="10"/>
      <c r="D93" s="11"/>
      <c r="E93" s="12" t="s">
        <v>46</v>
      </c>
      <c r="F93" s="13"/>
      <c r="G93" s="7">
        <v>1187328</v>
      </c>
      <c r="H93" s="8"/>
      <c r="I93" s="7"/>
      <c r="J93" s="8"/>
      <c r="K93" s="4"/>
      <c r="L93" s="7"/>
      <c r="M93" s="8"/>
      <c r="N93" s="7"/>
      <c r="O93" s="8"/>
    </row>
    <row r="94" spans="1:15" x14ac:dyDescent="0.25">
      <c r="A94" s="9"/>
      <c r="B94" s="10"/>
      <c r="C94" s="10"/>
      <c r="D94" s="11"/>
      <c r="E94" s="12" t="s">
        <v>46</v>
      </c>
      <c r="F94" s="13"/>
      <c r="G94" s="7">
        <v>1187327</v>
      </c>
      <c r="H94" s="8"/>
      <c r="I94" s="7">
        <v>8</v>
      </c>
      <c r="J94" s="8"/>
      <c r="K94" s="4">
        <v>602</v>
      </c>
      <c r="L94" s="7">
        <v>8.08</v>
      </c>
      <c r="M94" s="8"/>
      <c r="N94" s="7">
        <f>K94*L94</f>
        <v>4864.16</v>
      </c>
      <c r="O94" s="8"/>
    </row>
    <row r="95" spans="1:15" x14ac:dyDescent="0.25">
      <c r="A95" s="9" t="s">
        <v>10</v>
      </c>
      <c r="B95" s="10"/>
      <c r="C95" s="10"/>
      <c r="D95" s="11"/>
      <c r="E95" s="12" t="s">
        <v>47</v>
      </c>
      <c r="F95" s="13"/>
      <c r="G95" s="7">
        <v>1187338</v>
      </c>
      <c r="H95" s="8"/>
      <c r="I95" s="7"/>
      <c r="J95" s="8"/>
      <c r="K95" s="4"/>
      <c r="L95" s="7"/>
      <c r="M95" s="8"/>
      <c r="N95" s="7"/>
      <c r="O95" s="8"/>
    </row>
    <row r="96" spans="1:15" x14ac:dyDescent="0.25">
      <c r="A96" s="9"/>
      <c r="B96" s="10"/>
      <c r="C96" s="10"/>
      <c r="D96" s="11"/>
      <c r="E96" s="12" t="s">
        <v>47</v>
      </c>
      <c r="F96" s="13"/>
      <c r="G96" s="7">
        <v>1187337</v>
      </c>
      <c r="H96" s="8"/>
      <c r="I96" s="7"/>
      <c r="J96" s="8"/>
      <c r="K96" s="4"/>
      <c r="L96" s="7"/>
      <c r="M96" s="8"/>
      <c r="N96" s="7"/>
      <c r="O96" s="8"/>
    </row>
    <row r="97" spans="1:15" x14ac:dyDescent="0.25">
      <c r="A97" s="9"/>
      <c r="B97" s="10"/>
      <c r="C97" s="10"/>
      <c r="D97" s="11"/>
      <c r="E97" s="12" t="s">
        <v>47</v>
      </c>
      <c r="F97" s="13"/>
      <c r="G97" s="7">
        <v>1187336</v>
      </c>
      <c r="H97" s="8"/>
      <c r="I97" s="7"/>
      <c r="J97" s="8"/>
      <c r="K97" s="4"/>
      <c r="L97" s="7"/>
      <c r="M97" s="8"/>
      <c r="N97" s="7"/>
      <c r="O97" s="8"/>
    </row>
    <row r="98" spans="1:15" x14ac:dyDescent="0.25">
      <c r="A98" s="9"/>
      <c r="B98" s="10"/>
      <c r="C98" s="10"/>
      <c r="D98" s="11"/>
      <c r="E98" s="12" t="s">
        <v>47</v>
      </c>
      <c r="F98" s="13"/>
      <c r="G98" s="7">
        <v>1187341</v>
      </c>
      <c r="H98" s="8"/>
      <c r="I98" s="7"/>
      <c r="J98" s="8"/>
      <c r="K98" s="4"/>
      <c r="L98" s="7"/>
      <c r="M98" s="8"/>
      <c r="N98" s="7"/>
      <c r="O98" s="8"/>
    </row>
    <row r="99" spans="1:15" x14ac:dyDescent="0.25">
      <c r="A99" s="9"/>
      <c r="B99" s="10"/>
      <c r="C99" s="10"/>
      <c r="D99" s="11"/>
      <c r="E99" s="12" t="s">
        <v>47</v>
      </c>
      <c r="F99" s="13"/>
      <c r="G99" s="7">
        <v>1187335</v>
      </c>
      <c r="H99" s="8"/>
      <c r="I99" s="7"/>
      <c r="J99" s="8"/>
      <c r="K99" s="4"/>
      <c r="L99" s="7"/>
      <c r="M99" s="8"/>
      <c r="N99" s="7"/>
      <c r="O99" s="8"/>
    </row>
    <row r="100" spans="1:15" x14ac:dyDescent="0.25">
      <c r="A100" s="9"/>
      <c r="B100" s="10"/>
      <c r="C100" s="10"/>
      <c r="D100" s="11"/>
      <c r="E100" s="12" t="s">
        <v>47</v>
      </c>
      <c r="F100" s="13"/>
      <c r="G100" s="7">
        <v>1187339</v>
      </c>
      <c r="H100" s="8"/>
      <c r="I100" s="7"/>
      <c r="J100" s="8"/>
      <c r="K100" s="4"/>
      <c r="L100" s="7"/>
      <c r="M100" s="8"/>
      <c r="N100" s="7"/>
      <c r="O100" s="8"/>
    </row>
    <row r="101" spans="1:15" x14ac:dyDescent="0.25">
      <c r="A101" s="9"/>
      <c r="B101" s="10"/>
      <c r="C101" s="10"/>
      <c r="D101" s="11"/>
      <c r="E101" s="12" t="s">
        <v>47</v>
      </c>
      <c r="F101" s="13"/>
      <c r="G101" s="7">
        <v>1187340</v>
      </c>
      <c r="H101" s="8"/>
      <c r="I101" s="7">
        <v>32</v>
      </c>
      <c r="J101" s="8"/>
      <c r="K101" s="4">
        <v>718</v>
      </c>
      <c r="L101" s="7">
        <v>9.49</v>
      </c>
      <c r="M101" s="8"/>
      <c r="N101" s="7">
        <f>K101*L101</f>
        <v>6813.82</v>
      </c>
      <c r="O101" s="8"/>
    </row>
    <row r="102" spans="1:15" x14ac:dyDescent="0.25">
      <c r="A102" s="9"/>
      <c r="B102" s="10"/>
      <c r="C102" s="10"/>
      <c r="D102" s="11"/>
      <c r="E102" s="12"/>
      <c r="F102" s="13"/>
      <c r="G102" s="7"/>
      <c r="H102" s="8"/>
      <c r="I102" s="7"/>
      <c r="J102" s="8"/>
      <c r="K102" s="4"/>
      <c r="L102" s="7"/>
      <c r="M102" s="8"/>
      <c r="N102" s="7"/>
      <c r="O102" s="8"/>
    </row>
    <row r="103" spans="1:15" x14ac:dyDescent="0.25">
      <c r="A103" s="9"/>
      <c r="B103" s="10"/>
      <c r="C103" s="10"/>
      <c r="D103" s="11"/>
      <c r="E103" s="12"/>
      <c r="F103" s="13"/>
      <c r="G103" s="7"/>
      <c r="H103" s="8"/>
      <c r="I103" s="7"/>
      <c r="J103" s="8"/>
      <c r="K103" s="4"/>
      <c r="L103" s="7"/>
      <c r="M103" s="8"/>
      <c r="N103" s="7"/>
      <c r="O103" s="8"/>
    </row>
    <row r="104" spans="1:15" x14ac:dyDescent="0.25">
      <c r="A104" s="9"/>
      <c r="B104" s="10"/>
      <c r="C104" s="10"/>
      <c r="D104" s="11"/>
      <c r="E104" s="12"/>
      <c r="F104" s="13"/>
      <c r="G104" s="7"/>
      <c r="H104" s="8"/>
      <c r="I104" s="7"/>
      <c r="J104" s="8"/>
      <c r="K104" s="4"/>
      <c r="L104" s="7"/>
      <c r="M104" s="8"/>
      <c r="N104" s="7"/>
      <c r="O104" s="8"/>
    </row>
    <row r="105" spans="1:15" x14ac:dyDescent="0.25">
      <c r="A105" s="9"/>
      <c r="B105" s="10"/>
      <c r="C105" s="10"/>
      <c r="D105" s="11"/>
      <c r="E105" s="12"/>
      <c r="F105" s="13"/>
      <c r="G105" s="7"/>
      <c r="H105" s="8"/>
      <c r="I105" s="7"/>
      <c r="J105" s="8"/>
      <c r="K105" s="4"/>
      <c r="L105" s="7"/>
      <c r="M105" s="8"/>
      <c r="N105" s="7"/>
      <c r="O105" s="8"/>
    </row>
    <row r="106" spans="1:15" x14ac:dyDescent="0.25">
      <c r="A106" s="9"/>
      <c r="B106" s="10"/>
      <c r="C106" s="10"/>
      <c r="D106" s="11"/>
      <c r="E106" s="12"/>
      <c r="F106" s="13"/>
      <c r="G106" s="7"/>
      <c r="H106" s="8"/>
      <c r="I106" s="7"/>
      <c r="J106" s="8"/>
      <c r="K106" s="4"/>
      <c r="L106" s="7"/>
      <c r="M106" s="8"/>
      <c r="N106" s="7"/>
      <c r="O106" s="8"/>
    </row>
    <row r="107" spans="1:15" x14ac:dyDescent="0.25">
      <c r="A107" s="9"/>
      <c r="B107" s="10"/>
      <c r="C107" s="10"/>
      <c r="D107" s="11"/>
      <c r="E107" s="12"/>
      <c r="F107" s="13"/>
      <c r="G107" s="7"/>
      <c r="H107" s="8"/>
      <c r="I107" s="7"/>
      <c r="J107" s="8"/>
      <c r="K107" s="4"/>
      <c r="L107" s="7"/>
      <c r="M107" s="8"/>
      <c r="N107" s="7"/>
      <c r="O107" s="8"/>
    </row>
    <row r="108" spans="1:15" x14ac:dyDescent="0.25">
      <c r="A108" s="9"/>
      <c r="B108" s="10"/>
      <c r="C108" s="10"/>
      <c r="D108" s="11"/>
      <c r="E108" s="12"/>
      <c r="F108" s="13"/>
      <c r="G108" s="7"/>
      <c r="H108" s="8"/>
      <c r="I108" s="7"/>
      <c r="J108" s="8"/>
      <c r="K108" s="4"/>
      <c r="L108" s="7"/>
      <c r="M108" s="8"/>
      <c r="N108" s="7"/>
      <c r="O108" s="8"/>
    </row>
    <row r="109" spans="1:15" x14ac:dyDescent="0.25">
      <c r="A109" s="18"/>
      <c r="B109" s="19"/>
      <c r="C109" s="19"/>
      <c r="D109" s="20"/>
      <c r="E109" s="16"/>
      <c r="F109" s="17"/>
      <c r="G109" s="29"/>
      <c r="H109" s="30"/>
      <c r="I109" s="22"/>
      <c r="J109" s="23"/>
      <c r="K109" s="5"/>
      <c r="L109" s="24"/>
      <c r="M109" s="25"/>
      <c r="N109" s="7"/>
      <c r="O109" s="8"/>
    </row>
    <row r="110" spans="1:15" x14ac:dyDescent="0.25">
      <c r="A110" s="14" t="s">
        <v>9</v>
      </c>
      <c r="B110" s="14"/>
      <c r="C110" s="14"/>
      <c r="D110" s="14"/>
      <c r="E110" s="6"/>
      <c r="F110" s="6"/>
      <c r="G110" s="6"/>
      <c r="H110" s="6"/>
      <c r="I110" s="6"/>
      <c r="J110" s="6"/>
      <c r="K110" s="6"/>
      <c r="L110" s="15" t="s">
        <v>7</v>
      </c>
      <c r="M110" s="15"/>
      <c r="N110" s="24">
        <f>N101+N94+N92+N87+N86+N83+N77+N75+N71+N55+N39+N29+N17+N15</f>
        <v>58275.24</v>
      </c>
      <c r="O110" s="25"/>
    </row>
  </sheetData>
  <mergeCells count="657">
    <mergeCell ref="A107:D107"/>
    <mergeCell ref="E107:F107"/>
    <mergeCell ref="G107:H107"/>
    <mergeCell ref="I107:J107"/>
    <mergeCell ref="L107:M107"/>
    <mergeCell ref="N107:O107"/>
    <mergeCell ref="I84:J84"/>
    <mergeCell ref="I87:J87"/>
    <mergeCell ref="G97:H97"/>
    <mergeCell ref="A105:D105"/>
    <mergeCell ref="E105:F105"/>
    <mergeCell ref="G105:H105"/>
    <mergeCell ref="I105:J105"/>
    <mergeCell ref="L105:M105"/>
    <mergeCell ref="N105:O105"/>
    <mergeCell ref="A106:D106"/>
    <mergeCell ref="E106:F106"/>
    <mergeCell ref="G106:H106"/>
    <mergeCell ref="I106:J106"/>
    <mergeCell ref="L106:M106"/>
    <mergeCell ref="N106:O106"/>
    <mergeCell ref="A103:D103"/>
    <mergeCell ref="E103:F103"/>
    <mergeCell ref="G103:H103"/>
    <mergeCell ref="I103:J103"/>
    <mergeCell ref="L103:M103"/>
    <mergeCell ref="N103:O103"/>
    <mergeCell ref="A104:D104"/>
    <mergeCell ref="E104:F104"/>
    <mergeCell ref="G104:H104"/>
    <mergeCell ref="I104:J104"/>
    <mergeCell ref="L104:M104"/>
    <mergeCell ref="N104:O104"/>
    <mergeCell ref="A101:D101"/>
    <mergeCell ref="E101:F101"/>
    <mergeCell ref="G101:H101"/>
    <mergeCell ref="I101:J101"/>
    <mergeCell ref="L101:M101"/>
    <mergeCell ref="N101:O101"/>
    <mergeCell ref="A102:D102"/>
    <mergeCell ref="E102:F102"/>
    <mergeCell ref="G102:H102"/>
    <mergeCell ref="I102:J102"/>
    <mergeCell ref="L102:M102"/>
    <mergeCell ref="N102:O102"/>
    <mergeCell ref="A99:D99"/>
    <mergeCell ref="E99:F99"/>
    <mergeCell ref="G99:H99"/>
    <mergeCell ref="I99:J99"/>
    <mergeCell ref="L99:M99"/>
    <mergeCell ref="N99:O99"/>
    <mergeCell ref="A100:D100"/>
    <mergeCell ref="E100:F100"/>
    <mergeCell ref="G100:H100"/>
    <mergeCell ref="I100:J100"/>
    <mergeCell ref="L100:M100"/>
    <mergeCell ref="N100:O100"/>
    <mergeCell ref="A97:D97"/>
    <mergeCell ref="E97:F97"/>
    <mergeCell ref="G96:H96"/>
    <mergeCell ref="I97:J97"/>
    <mergeCell ref="L97:M97"/>
    <mergeCell ref="N97:O97"/>
    <mergeCell ref="A98:D98"/>
    <mergeCell ref="E98:F98"/>
    <mergeCell ref="G98:H98"/>
    <mergeCell ref="I98:J98"/>
    <mergeCell ref="L98:M98"/>
    <mergeCell ref="N98:O98"/>
    <mergeCell ref="A95:D95"/>
    <mergeCell ref="E95:F95"/>
    <mergeCell ref="G95:H95"/>
    <mergeCell ref="I95:J95"/>
    <mergeCell ref="L95:M95"/>
    <mergeCell ref="N95:O95"/>
    <mergeCell ref="A96:D96"/>
    <mergeCell ref="E96:F96"/>
    <mergeCell ref="I96:J96"/>
    <mergeCell ref="L96:M96"/>
    <mergeCell ref="N96:O96"/>
    <mergeCell ref="A93:D93"/>
    <mergeCell ref="E93:F93"/>
    <mergeCell ref="G93:H93"/>
    <mergeCell ref="I93:J93"/>
    <mergeCell ref="L93:M93"/>
    <mergeCell ref="N93:O93"/>
    <mergeCell ref="A94:D94"/>
    <mergeCell ref="E94:F94"/>
    <mergeCell ref="G94:H94"/>
    <mergeCell ref="I94:J94"/>
    <mergeCell ref="L94:M94"/>
    <mergeCell ref="N94:O94"/>
    <mergeCell ref="A91:D91"/>
    <mergeCell ref="E91:F91"/>
    <mergeCell ref="G91:H91"/>
    <mergeCell ref="I91:J91"/>
    <mergeCell ref="L91:M91"/>
    <mergeCell ref="N91:O91"/>
    <mergeCell ref="A92:D92"/>
    <mergeCell ref="E92:F92"/>
    <mergeCell ref="G92:H92"/>
    <mergeCell ref="I92:J92"/>
    <mergeCell ref="L92:M92"/>
    <mergeCell ref="N92:O92"/>
    <mergeCell ref="A89:D89"/>
    <mergeCell ref="E89:F89"/>
    <mergeCell ref="G89:H89"/>
    <mergeCell ref="I89:J89"/>
    <mergeCell ref="L89:M89"/>
    <mergeCell ref="N89:O89"/>
    <mergeCell ref="A90:D90"/>
    <mergeCell ref="E90:F90"/>
    <mergeCell ref="G90:H90"/>
    <mergeCell ref="I90:J90"/>
    <mergeCell ref="L90:M90"/>
    <mergeCell ref="N90:O90"/>
    <mergeCell ref="A85:D85"/>
    <mergeCell ref="E85:F85"/>
    <mergeCell ref="G85:H85"/>
    <mergeCell ref="I85:J85"/>
    <mergeCell ref="L85:M85"/>
    <mergeCell ref="N85:O85"/>
    <mergeCell ref="A86:D86"/>
    <mergeCell ref="E86:F86"/>
    <mergeCell ref="G86:H86"/>
    <mergeCell ref="L86:M86"/>
    <mergeCell ref="N86:O86"/>
    <mergeCell ref="A83:D83"/>
    <mergeCell ref="E83:F83"/>
    <mergeCell ref="G83:H83"/>
    <mergeCell ref="L83:M83"/>
    <mergeCell ref="N83:O83"/>
    <mergeCell ref="A84:D84"/>
    <mergeCell ref="E84:F84"/>
    <mergeCell ref="G84:H84"/>
    <mergeCell ref="I83:J83"/>
    <mergeCell ref="L84:M84"/>
    <mergeCell ref="N84:O84"/>
    <mergeCell ref="A81:D81"/>
    <mergeCell ref="E81:F81"/>
    <mergeCell ref="G81:H81"/>
    <mergeCell ref="I81:J81"/>
    <mergeCell ref="L81:M81"/>
    <mergeCell ref="N81:O81"/>
    <mergeCell ref="A82:D82"/>
    <mergeCell ref="E82:F82"/>
    <mergeCell ref="G82:H82"/>
    <mergeCell ref="I82:J82"/>
    <mergeCell ref="L82:M82"/>
    <mergeCell ref="N82:O82"/>
    <mergeCell ref="A79:D79"/>
    <mergeCell ref="E79:F79"/>
    <mergeCell ref="G79:H79"/>
    <mergeCell ref="I79:J79"/>
    <mergeCell ref="L79:M79"/>
    <mergeCell ref="N79:O79"/>
    <mergeCell ref="A80:D80"/>
    <mergeCell ref="E80:F80"/>
    <mergeCell ref="G80:H80"/>
    <mergeCell ref="I80:J80"/>
    <mergeCell ref="L80:M80"/>
    <mergeCell ref="N80:O80"/>
    <mergeCell ref="E77:F77"/>
    <mergeCell ref="G77:H77"/>
    <mergeCell ref="I77:J77"/>
    <mergeCell ref="L77:M77"/>
    <mergeCell ref="N77:O77"/>
    <mergeCell ref="A78:D78"/>
    <mergeCell ref="E78:F78"/>
    <mergeCell ref="G78:H78"/>
    <mergeCell ref="I78:J78"/>
    <mergeCell ref="L78:M78"/>
    <mergeCell ref="N78:O78"/>
    <mergeCell ref="N74:O74"/>
    <mergeCell ref="A75:D75"/>
    <mergeCell ref="E75:F75"/>
    <mergeCell ref="G75:H75"/>
    <mergeCell ref="I75:J75"/>
    <mergeCell ref="L75:M75"/>
    <mergeCell ref="N75:O75"/>
    <mergeCell ref="A76:D76"/>
    <mergeCell ref="E76:F76"/>
    <mergeCell ref="G76:H76"/>
    <mergeCell ref="I76:J76"/>
    <mergeCell ref="L76:M76"/>
    <mergeCell ref="N76:O76"/>
    <mergeCell ref="N88:O88"/>
    <mergeCell ref="A69:D69"/>
    <mergeCell ref="E69:F69"/>
    <mergeCell ref="G69:H69"/>
    <mergeCell ref="I69:J69"/>
    <mergeCell ref="L69:M69"/>
    <mergeCell ref="N69:O69"/>
    <mergeCell ref="A70:D70"/>
    <mergeCell ref="E70:F70"/>
    <mergeCell ref="G70:H70"/>
    <mergeCell ref="I70:J70"/>
    <mergeCell ref="L70:M70"/>
    <mergeCell ref="N70:O70"/>
    <mergeCell ref="A71:D71"/>
    <mergeCell ref="E71:F71"/>
    <mergeCell ref="G71:H71"/>
    <mergeCell ref="I71:J71"/>
    <mergeCell ref="L71:M71"/>
    <mergeCell ref="N71:O71"/>
    <mergeCell ref="A72:D72"/>
    <mergeCell ref="E72:F72"/>
    <mergeCell ref="G72:H72"/>
    <mergeCell ref="I72:J72"/>
    <mergeCell ref="L72:M72"/>
    <mergeCell ref="N67:O67"/>
    <mergeCell ref="A68:D68"/>
    <mergeCell ref="E68:F68"/>
    <mergeCell ref="G68:H68"/>
    <mergeCell ref="I68:J68"/>
    <mergeCell ref="L68:M68"/>
    <mergeCell ref="N68:O68"/>
    <mergeCell ref="A87:D87"/>
    <mergeCell ref="E87:F87"/>
    <mergeCell ref="G87:H87"/>
    <mergeCell ref="I86:J86"/>
    <mergeCell ref="L87:M87"/>
    <mergeCell ref="N87:O87"/>
    <mergeCell ref="N72:O72"/>
    <mergeCell ref="A73:D73"/>
    <mergeCell ref="E73:F73"/>
    <mergeCell ref="G73:H73"/>
    <mergeCell ref="I73:J73"/>
    <mergeCell ref="L73:M73"/>
    <mergeCell ref="N73:O73"/>
    <mergeCell ref="A74:D74"/>
    <mergeCell ref="E74:F74"/>
    <mergeCell ref="G74:H74"/>
    <mergeCell ref="I74:J74"/>
    <mergeCell ref="I46:J46"/>
    <mergeCell ref="L46:M46"/>
    <mergeCell ref="N47:O47"/>
    <mergeCell ref="A44:D44"/>
    <mergeCell ref="E44:F44"/>
    <mergeCell ref="G44:H44"/>
    <mergeCell ref="I44:J44"/>
    <mergeCell ref="L44:M44"/>
    <mergeCell ref="N44:O44"/>
    <mergeCell ref="N46:O46"/>
    <mergeCell ref="A45:D45"/>
    <mergeCell ref="E45:F45"/>
    <mergeCell ref="G45:H45"/>
    <mergeCell ref="I45:J45"/>
    <mergeCell ref="L45:M45"/>
    <mergeCell ref="N45:O45"/>
    <mergeCell ref="A60:D60"/>
    <mergeCell ref="E60:F60"/>
    <mergeCell ref="G60:H60"/>
    <mergeCell ref="I60:J60"/>
    <mergeCell ref="L60:M60"/>
    <mergeCell ref="N61:O61"/>
    <mergeCell ref="A61:D61"/>
    <mergeCell ref="E61:F61"/>
    <mergeCell ref="G61:H61"/>
    <mergeCell ref="I61:J61"/>
    <mergeCell ref="L61:M61"/>
    <mergeCell ref="N62:O62"/>
    <mergeCell ref="E58:F58"/>
    <mergeCell ref="G58:H58"/>
    <mergeCell ref="I58:J58"/>
    <mergeCell ref="L58:M58"/>
    <mergeCell ref="N59:O59"/>
    <mergeCell ref="A59:D59"/>
    <mergeCell ref="E59:F59"/>
    <mergeCell ref="G59:H59"/>
    <mergeCell ref="I59:J59"/>
    <mergeCell ref="L59:M59"/>
    <mergeCell ref="N60:O60"/>
    <mergeCell ref="N57:O57"/>
    <mergeCell ref="N52:O52"/>
    <mergeCell ref="N51:O51"/>
    <mergeCell ref="L50:M50"/>
    <mergeCell ref="L51:M51"/>
    <mergeCell ref="I51:J51"/>
    <mergeCell ref="N65:O65"/>
    <mergeCell ref="N109:O109"/>
    <mergeCell ref="N64:O64"/>
    <mergeCell ref="N63:O63"/>
    <mergeCell ref="N58:O58"/>
    <mergeCell ref="L57:M57"/>
    <mergeCell ref="L62:M62"/>
    <mergeCell ref="N108:O108"/>
    <mergeCell ref="L56:M56"/>
    <mergeCell ref="L54:M54"/>
    <mergeCell ref="N55:O55"/>
    <mergeCell ref="L55:M55"/>
    <mergeCell ref="N56:O56"/>
    <mergeCell ref="I66:J66"/>
    <mergeCell ref="L66:M66"/>
    <mergeCell ref="N66:O66"/>
    <mergeCell ref="I67:J67"/>
    <mergeCell ref="L67:M67"/>
    <mergeCell ref="N49:O49"/>
    <mergeCell ref="N50:O50"/>
    <mergeCell ref="A50:D50"/>
    <mergeCell ref="E50:F50"/>
    <mergeCell ref="I50:J50"/>
    <mergeCell ref="G51:H51"/>
    <mergeCell ref="E51:F51"/>
    <mergeCell ref="N53:O53"/>
    <mergeCell ref="A51:D51"/>
    <mergeCell ref="L52:M52"/>
    <mergeCell ref="A48:D48"/>
    <mergeCell ref="E48:F48"/>
    <mergeCell ref="G48:H48"/>
    <mergeCell ref="I48:J48"/>
    <mergeCell ref="L48:M48"/>
    <mergeCell ref="A49:D49"/>
    <mergeCell ref="E49:F49"/>
    <mergeCell ref="G49:H49"/>
    <mergeCell ref="I49:J49"/>
    <mergeCell ref="L49:M49"/>
    <mergeCell ref="G109:H109"/>
    <mergeCell ref="E65:F65"/>
    <mergeCell ref="G65:H65"/>
    <mergeCell ref="I65:J65"/>
    <mergeCell ref="L65:M65"/>
    <mergeCell ref="A108:D108"/>
    <mergeCell ref="E108:F108"/>
    <mergeCell ref="I108:J108"/>
    <mergeCell ref="L108:M108"/>
    <mergeCell ref="A65:D65"/>
    <mergeCell ref="G108:H108"/>
    <mergeCell ref="A66:D66"/>
    <mergeCell ref="E66:F66"/>
    <mergeCell ref="G66:H66"/>
    <mergeCell ref="A67:D67"/>
    <mergeCell ref="E67:F67"/>
    <mergeCell ref="G67:H67"/>
    <mergeCell ref="A88:D88"/>
    <mergeCell ref="E88:F88"/>
    <mergeCell ref="G88:H88"/>
    <mergeCell ref="I88:J88"/>
    <mergeCell ref="L88:M88"/>
    <mergeCell ref="L74:M74"/>
    <mergeCell ref="A77:D77"/>
    <mergeCell ref="A63:D63"/>
    <mergeCell ref="E63:F63"/>
    <mergeCell ref="G63:H63"/>
    <mergeCell ref="I63:J63"/>
    <mergeCell ref="L63:M63"/>
    <mergeCell ref="A64:D64"/>
    <mergeCell ref="E64:F64"/>
    <mergeCell ref="G64:H64"/>
    <mergeCell ref="I64:J64"/>
    <mergeCell ref="L64:M64"/>
    <mergeCell ref="A57:D57"/>
    <mergeCell ref="E57:F57"/>
    <mergeCell ref="G57:H57"/>
    <mergeCell ref="I57:J57"/>
    <mergeCell ref="A62:D62"/>
    <mergeCell ref="E62:F62"/>
    <mergeCell ref="G62:H62"/>
    <mergeCell ref="I62:J62"/>
    <mergeCell ref="A52:D52"/>
    <mergeCell ref="E52:F52"/>
    <mergeCell ref="I52:J52"/>
    <mergeCell ref="A56:D56"/>
    <mergeCell ref="E56:F56"/>
    <mergeCell ref="G56:H56"/>
    <mergeCell ref="I56:J56"/>
    <mergeCell ref="A54:D54"/>
    <mergeCell ref="E54:F54"/>
    <mergeCell ref="G54:H54"/>
    <mergeCell ref="I54:J54"/>
    <mergeCell ref="A55:D55"/>
    <mergeCell ref="E55:F55"/>
    <mergeCell ref="G55:H55"/>
    <mergeCell ref="I55:J55"/>
    <mergeCell ref="A58:D58"/>
    <mergeCell ref="I47:J47"/>
    <mergeCell ref="L47:M47"/>
    <mergeCell ref="N48:O48"/>
    <mergeCell ref="G47:H47"/>
    <mergeCell ref="E47:F47"/>
    <mergeCell ref="A47:D47"/>
    <mergeCell ref="I41:J41"/>
    <mergeCell ref="L41:M41"/>
    <mergeCell ref="N41:O41"/>
    <mergeCell ref="N42:O42"/>
    <mergeCell ref="N43:O43"/>
    <mergeCell ref="A42:D42"/>
    <mergeCell ref="E42:F42"/>
    <mergeCell ref="G42:H42"/>
    <mergeCell ref="I42:J42"/>
    <mergeCell ref="L42:M42"/>
    <mergeCell ref="L43:M43"/>
    <mergeCell ref="I43:J43"/>
    <mergeCell ref="G43:H43"/>
    <mergeCell ref="E43:F43"/>
    <mergeCell ref="A43:D43"/>
    <mergeCell ref="A46:D46"/>
    <mergeCell ref="E46:F46"/>
    <mergeCell ref="G46:H46"/>
    <mergeCell ref="A23:D23"/>
    <mergeCell ref="A25:D25"/>
    <mergeCell ref="N38:O38"/>
    <mergeCell ref="L38:M38"/>
    <mergeCell ref="I38:J38"/>
    <mergeCell ref="E14:F14"/>
    <mergeCell ref="A41:D41"/>
    <mergeCell ref="E41:F41"/>
    <mergeCell ref="G41:H41"/>
    <mergeCell ref="N35:O35"/>
    <mergeCell ref="N34:O34"/>
    <mergeCell ref="N33:O33"/>
    <mergeCell ref="L27:M27"/>
    <mergeCell ref="L28:M28"/>
    <mergeCell ref="L29:M29"/>
    <mergeCell ref="L31:M31"/>
    <mergeCell ref="L32:M32"/>
    <mergeCell ref="L25:M25"/>
    <mergeCell ref="L26:M26"/>
    <mergeCell ref="N32:O32"/>
    <mergeCell ref="E39:F39"/>
    <mergeCell ref="G39:H39"/>
    <mergeCell ref="N39:O39"/>
    <mergeCell ref="L39:M39"/>
    <mergeCell ref="A38:D38"/>
    <mergeCell ref="A39:D39"/>
    <mergeCell ref="E38:F38"/>
    <mergeCell ref="A24:D24"/>
    <mergeCell ref="A26:D26"/>
    <mergeCell ref="A27:D27"/>
    <mergeCell ref="N26:O26"/>
    <mergeCell ref="N25:O25"/>
    <mergeCell ref="N24:O24"/>
    <mergeCell ref="L34:M34"/>
    <mergeCell ref="L33:M33"/>
    <mergeCell ref="G33:H33"/>
    <mergeCell ref="G34:H34"/>
    <mergeCell ref="G35:H35"/>
    <mergeCell ref="I35:J35"/>
    <mergeCell ref="L35:M35"/>
    <mergeCell ref="I34:J34"/>
    <mergeCell ref="I33:J33"/>
    <mergeCell ref="E24:F24"/>
    <mergeCell ref="E35:F35"/>
    <mergeCell ref="E34:F34"/>
    <mergeCell ref="E33:F33"/>
    <mergeCell ref="A32:D32"/>
    <mergeCell ref="N23:O23"/>
    <mergeCell ref="G27:H27"/>
    <mergeCell ref="G28:H28"/>
    <mergeCell ref="G29:H29"/>
    <mergeCell ref="G30:H30"/>
    <mergeCell ref="G31:H31"/>
    <mergeCell ref="G32:H32"/>
    <mergeCell ref="I26:J26"/>
    <mergeCell ref="L24:M24"/>
    <mergeCell ref="N31:O31"/>
    <mergeCell ref="N30:O30"/>
    <mergeCell ref="N29:O29"/>
    <mergeCell ref="N28:O28"/>
    <mergeCell ref="N27:O27"/>
    <mergeCell ref="L23:M23"/>
    <mergeCell ref="I25:J25"/>
    <mergeCell ref="A1:D1"/>
    <mergeCell ref="A3:D3"/>
    <mergeCell ref="A4:D4"/>
    <mergeCell ref="A17:D17"/>
    <mergeCell ref="A20:D20"/>
    <mergeCell ref="A21:D21"/>
    <mergeCell ref="A13:D13"/>
    <mergeCell ref="A14:D14"/>
    <mergeCell ref="A15:D15"/>
    <mergeCell ref="A16:D16"/>
    <mergeCell ref="A2:D2"/>
    <mergeCell ref="A10:D10"/>
    <mergeCell ref="A8:D8"/>
    <mergeCell ref="A9:D9"/>
    <mergeCell ref="A11:D11"/>
    <mergeCell ref="A12:D12"/>
    <mergeCell ref="A6:D6"/>
    <mergeCell ref="A5:D5"/>
    <mergeCell ref="A7:D7"/>
    <mergeCell ref="E23:F23"/>
    <mergeCell ref="E21:F21"/>
    <mergeCell ref="E20:F20"/>
    <mergeCell ref="I32:J32"/>
    <mergeCell ref="I31:J31"/>
    <mergeCell ref="I29:J29"/>
    <mergeCell ref="I28:J28"/>
    <mergeCell ref="I27:J27"/>
    <mergeCell ref="E32:F32"/>
    <mergeCell ref="E31:F31"/>
    <mergeCell ref="E30:F30"/>
    <mergeCell ref="E28:F28"/>
    <mergeCell ref="G20:H20"/>
    <mergeCell ref="G21:H21"/>
    <mergeCell ref="G23:H23"/>
    <mergeCell ref="G24:H24"/>
    <mergeCell ref="I24:J24"/>
    <mergeCell ref="I23:J23"/>
    <mergeCell ref="I21:J21"/>
    <mergeCell ref="I20:J20"/>
    <mergeCell ref="G25:H25"/>
    <mergeCell ref="G26:H26"/>
    <mergeCell ref="E27:F27"/>
    <mergeCell ref="E25:F25"/>
    <mergeCell ref="N17:O17"/>
    <mergeCell ref="L17:M17"/>
    <mergeCell ref="A22:D22"/>
    <mergeCell ref="E22:F22"/>
    <mergeCell ref="G22:H22"/>
    <mergeCell ref="I22:J22"/>
    <mergeCell ref="L22:M22"/>
    <mergeCell ref="N22:O22"/>
    <mergeCell ref="A18:D18"/>
    <mergeCell ref="E18:F18"/>
    <mergeCell ref="G18:H18"/>
    <mergeCell ref="I18:J18"/>
    <mergeCell ref="L18:M18"/>
    <mergeCell ref="N18:O18"/>
    <mergeCell ref="A19:D19"/>
    <mergeCell ref="E19:F19"/>
    <mergeCell ref="N16:O16"/>
    <mergeCell ref="N10:O10"/>
    <mergeCell ref="N9:O9"/>
    <mergeCell ref="N8:O8"/>
    <mergeCell ref="N7:O7"/>
    <mergeCell ref="N6:O6"/>
    <mergeCell ref="N5:O5"/>
    <mergeCell ref="L11:M11"/>
    <mergeCell ref="L12:M12"/>
    <mergeCell ref="L13:M13"/>
    <mergeCell ref="L14:M14"/>
    <mergeCell ref="L15:M15"/>
    <mergeCell ref="N15:O15"/>
    <mergeCell ref="L9:M9"/>
    <mergeCell ref="L10:M10"/>
    <mergeCell ref="N14:O14"/>
    <mergeCell ref="N13:O13"/>
    <mergeCell ref="N12:O12"/>
    <mergeCell ref="N11:O11"/>
    <mergeCell ref="L16:M16"/>
    <mergeCell ref="G13:H13"/>
    <mergeCell ref="G2:H2"/>
    <mergeCell ref="G3:H3"/>
    <mergeCell ref="G4:H4"/>
    <mergeCell ref="G5:H5"/>
    <mergeCell ref="G6:H6"/>
    <mergeCell ref="G7:H7"/>
    <mergeCell ref="G8:H8"/>
    <mergeCell ref="I10:J10"/>
    <mergeCell ref="I11:J11"/>
    <mergeCell ref="I12:J12"/>
    <mergeCell ref="I13:J13"/>
    <mergeCell ref="I8:J8"/>
    <mergeCell ref="I9:J9"/>
    <mergeCell ref="E12:F12"/>
    <mergeCell ref="E6:F6"/>
    <mergeCell ref="E7:F7"/>
    <mergeCell ref="E8:F8"/>
    <mergeCell ref="E10:F10"/>
    <mergeCell ref="E11:F11"/>
    <mergeCell ref="E9:F9"/>
    <mergeCell ref="I2:J2"/>
    <mergeCell ref="I3:J3"/>
    <mergeCell ref="I4:J4"/>
    <mergeCell ref="I5:J5"/>
    <mergeCell ref="I6:J6"/>
    <mergeCell ref="I7:J7"/>
    <mergeCell ref="G12:H12"/>
    <mergeCell ref="E1:F1"/>
    <mergeCell ref="G1:H1"/>
    <mergeCell ref="G9:H9"/>
    <mergeCell ref="G10:H10"/>
    <mergeCell ref="N2:O2"/>
    <mergeCell ref="G11:H11"/>
    <mergeCell ref="L2:M2"/>
    <mergeCell ref="L3:M3"/>
    <mergeCell ref="L4:M4"/>
    <mergeCell ref="L5:M5"/>
    <mergeCell ref="L6:M6"/>
    <mergeCell ref="L7:M7"/>
    <mergeCell ref="L8:M8"/>
    <mergeCell ref="E2:F2"/>
    <mergeCell ref="E3:F3"/>
    <mergeCell ref="E4:F4"/>
    <mergeCell ref="E5:F5"/>
    <mergeCell ref="I14:J14"/>
    <mergeCell ref="N4:O4"/>
    <mergeCell ref="N3:O3"/>
    <mergeCell ref="I1:J1"/>
    <mergeCell ref="I109:J109"/>
    <mergeCell ref="L109:M109"/>
    <mergeCell ref="N110:O110"/>
    <mergeCell ref="E13:F13"/>
    <mergeCell ref="E29:F29"/>
    <mergeCell ref="I30:J30"/>
    <mergeCell ref="L30:M30"/>
    <mergeCell ref="E15:F15"/>
    <mergeCell ref="E17:F17"/>
    <mergeCell ref="I17:J17"/>
    <mergeCell ref="G14:H14"/>
    <mergeCell ref="G15:H15"/>
    <mergeCell ref="G16:H16"/>
    <mergeCell ref="G17:H17"/>
    <mergeCell ref="E16:F16"/>
    <mergeCell ref="I16:J16"/>
    <mergeCell ref="I15:J15"/>
    <mergeCell ref="L1:M1"/>
    <mergeCell ref="N1:O1"/>
    <mergeCell ref="I37:J37"/>
    <mergeCell ref="A110:D110"/>
    <mergeCell ref="L110:M110"/>
    <mergeCell ref="E36:F36"/>
    <mergeCell ref="G36:H36"/>
    <mergeCell ref="I36:J36"/>
    <mergeCell ref="L36:M36"/>
    <mergeCell ref="N36:O36"/>
    <mergeCell ref="A37:D37"/>
    <mergeCell ref="E37:F37"/>
    <mergeCell ref="G37:H37"/>
    <mergeCell ref="G50:H50"/>
    <mergeCell ref="E109:F109"/>
    <mergeCell ref="A109:D109"/>
    <mergeCell ref="N40:O40"/>
    <mergeCell ref="L40:M40"/>
    <mergeCell ref="I40:J40"/>
    <mergeCell ref="G40:H40"/>
    <mergeCell ref="E40:F40"/>
    <mergeCell ref="A40:D40"/>
    <mergeCell ref="G38:H38"/>
    <mergeCell ref="L37:M37"/>
    <mergeCell ref="N37:O37"/>
    <mergeCell ref="I39:J39"/>
    <mergeCell ref="G19:H19"/>
    <mergeCell ref="I19:J19"/>
    <mergeCell ref="L19:M19"/>
    <mergeCell ref="N19:O19"/>
    <mergeCell ref="N21:O21"/>
    <mergeCell ref="N20:O20"/>
    <mergeCell ref="L20:M20"/>
    <mergeCell ref="L21:M21"/>
    <mergeCell ref="A53:D53"/>
    <mergeCell ref="E53:F53"/>
    <mergeCell ref="G53:H53"/>
    <mergeCell ref="I53:J53"/>
    <mergeCell ref="L53:M53"/>
    <mergeCell ref="N54:O54"/>
    <mergeCell ref="G52:H52"/>
    <mergeCell ref="A36:D36"/>
    <mergeCell ref="A33:D33"/>
    <mergeCell ref="A34:D34"/>
    <mergeCell ref="A35:D35"/>
    <mergeCell ref="A28:D28"/>
    <mergeCell ref="A29:D29"/>
    <mergeCell ref="A30:D30"/>
    <mergeCell ref="A31:D31"/>
    <mergeCell ref="E26:F26"/>
  </mergeCells>
  <phoneticPr fontId="4" type="noConversion"/>
  <printOptions horizontalCentered="1"/>
  <pageMargins left="0.70866141732283472" right="0.70866141732283472" top="0.94488188976377963" bottom="0.74803149606299213" header="0.31496062992125984" footer="0.31496062992125984"/>
  <pageSetup orientation="portrait" r:id="rId1"/>
  <headerFooter>
    <oddHeader>&amp;C&amp;"-,Bold"DCA MULTITUDE TRADING CORPORATION</oddHeader>
  </headerFooter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Ricafrente</dc:creator>
  <cp:lastModifiedBy>Clarence Ricafrente</cp:lastModifiedBy>
  <cp:lastPrinted>2025-11-01T09:28:00Z</cp:lastPrinted>
  <dcterms:created xsi:type="dcterms:W3CDTF">2025-06-07T03:51:48Z</dcterms:created>
  <dcterms:modified xsi:type="dcterms:W3CDTF">2025-11-01T09:32:32Z</dcterms:modified>
</cp:coreProperties>
</file>