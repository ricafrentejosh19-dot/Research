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07D6C493-330A-4C68-BC0C-F511A4F6C3D8}" xr6:coauthVersionLast="47" xr6:coauthVersionMax="47" xr10:uidLastSave="{00000000-0000-0000-0000-000000000000}"/>
  <bookViews>
    <workbookView xWindow="-120" yWindow="-120" windowWidth="20730" windowHeight="11310" xr2:uid="{DBA543C0-C587-4DD5-8CE5-2ADD7911A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" i="1" l="1"/>
  <c r="N28" i="1"/>
  <c r="N31" i="1"/>
  <c r="N42" i="1"/>
  <c r="N41" i="1"/>
  <c r="N39" i="1"/>
  <c r="N37" i="1"/>
  <c r="N35" i="1"/>
  <c r="N5" i="1"/>
  <c r="N33" i="1"/>
  <c r="N19" i="1"/>
  <c r="N20" i="1"/>
  <c r="N22" i="1"/>
  <c r="N21" i="1"/>
  <c r="N24" i="1"/>
  <c r="N17" i="1"/>
  <c r="N16" i="1"/>
  <c r="N15" i="1"/>
  <c r="N13" i="1"/>
  <c r="N10" i="1"/>
  <c r="N8" i="1"/>
</calcChain>
</file>

<file path=xl/sharedStrings.xml><?xml version="1.0" encoding="utf-8"?>
<sst xmlns="http://schemas.openxmlformats.org/spreadsheetml/2006/main" count="71" uniqueCount="36">
  <si>
    <t>KM</t>
  </si>
  <si>
    <t>Amount</t>
  </si>
  <si>
    <t>Outlet Name</t>
  </si>
  <si>
    <t>Date</t>
  </si>
  <si>
    <t>Sales Invoice</t>
  </si>
  <si>
    <t>Quantity</t>
  </si>
  <si>
    <t>Cost per rate</t>
  </si>
  <si>
    <t>at 60.00/L pump price</t>
  </si>
  <si>
    <t>Total:</t>
  </si>
  <si>
    <t>ILAYA MARKET</t>
  </si>
  <si>
    <t xml:space="preserve"> </t>
  </si>
  <si>
    <t>ALFAMART TRADING PHILPPINES INC</t>
  </si>
  <si>
    <t>07/16/25</t>
  </si>
  <si>
    <t>07/17/25</t>
  </si>
  <si>
    <t>07/18/25</t>
  </si>
  <si>
    <t>SUPER SHOPRITE</t>
  </si>
  <si>
    <t>07/19/25</t>
  </si>
  <si>
    <t>07/21/25</t>
  </si>
  <si>
    <t>SHOPRITE</t>
  </si>
  <si>
    <t>07/22/25</t>
  </si>
  <si>
    <t>YLAYA PROSPER GROCERY</t>
  </si>
  <si>
    <t>07/23/25</t>
  </si>
  <si>
    <t>07/25/25</t>
  </si>
  <si>
    <t>07/24/25</t>
  </si>
  <si>
    <t>FIRST ACER MINIMART</t>
  </si>
  <si>
    <t>ST. JUDE PHARMACY</t>
  </si>
  <si>
    <t>TITA DELZ PHARMACY</t>
  </si>
  <si>
    <t>J&amp;V BUENA SUERTE SUPERMARKET</t>
  </si>
  <si>
    <t>07/26/25</t>
  </si>
  <si>
    <t>07/28/25</t>
  </si>
  <si>
    <t>07/29/25</t>
  </si>
  <si>
    <t>07/30/25</t>
  </si>
  <si>
    <t>CARLOS DRUGS</t>
  </si>
  <si>
    <t>07/31/25</t>
  </si>
  <si>
    <t>LUCENA UNITED DOCTORS INC</t>
  </si>
  <si>
    <t>SOUTHSTAR DRUGS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</si>
</sst>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Border="1"/>
    <xf numFmtId="0" fontId="2" fillId="2" borderId="2" xfId="0" applyFont="1" applyFill="1" applyBorder="1" applyAlignment="1">
      <alignment horizontal="center"/>
    </xf>
    <xf numFmtId="0" fontId="4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14" xfId="0" applyFont="1" applyBorder="1"/>
    <xf numFmtId="0" fontId="3" fillId="0" borderId="8" xfId="0" applyFont="1" applyBorder="1" applyAlignment="1">
      <alignment horizontal="center"/>
    </xf>
    <xf numFmtId="0" fontId="0" fillId="0" borderId="8" xfId="0" applyBorder="1"/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4" fontId="3" fillId="0" borderId="19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14" fontId="3" fillId="0" borderId="10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0BE6-0B0C-4473-BE65-34A06228CA91}">
  <dimension ref="A1:Y44"/>
  <sheetViews>
    <sheetView tabSelected="1" view="pageLayout" topLeftCell="A36" zoomScaleNormal="100" workbookViewId="0">
      <selection activeCell="N45" sqref="N45"/>
    </sheetView>
  </sheetViews>
  <sheetFormatPr defaultRowHeight="15" x14ac:dyDescent="0.25"/>
  <cols>
    <col min="1" max="1" width="4.85546875" customWidth="1"/>
    <col min="2" max="2" width="7.140625" customWidth="1"/>
    <col min="3" max="3" width="6" customWidth="1"/>
    <col min="4" max="4" width="8.5703125" customWidth="1"/>
    <col min="5" max="5" width="8.7109375" customWidth="1"/>
    <col min="6" max="6" width="2.85546875" customWidth="1"/>
    <col min="7" max="7" width="8.7109375" customWidth="1"/>
    <col min="8" max="8" width="3" customWidth="1"/>
    <col min="9" max="9" width="3.5703125" customWidth="1"/>
    <col min="10" max="10" width="2.5703125" customWidth="1"/>
    <col min="11" max="11" width="8.140625" customWidth="1"/>
    <col min="12" max="12" width="8.7109375" customWidth="1"/>
    <col min="13" max="13" width="4" customWidth="1"/>
    <col min="14" max="14" width="8.42578125" customWidth="1"/>
    <col min="15" max="15" width="1.85546875" customWidth="1"/>
    <col min="16" max="16" width="8.7109375" customWidth="1"/>
    <col min="18" max="18" width="2.5703125" customWidth="1"/>
  </cols>
  <sheetData>
    <row r="1" spans="1:18" x14ac:dyDescent="0.25">
      <c r="A1" s="26" t="s">
        <v>2</v>
      </c>
      <c r="B1" s="27"/>
      <c r="C1" s="27"/>
      <c r="D1" s="28"/>
      <c r="E1" s="40" t="s">
        <v>3</v>
      </c>
      <c r="F1" s="40"/>
      <c r="G1" s="40" t="s">
        <v>4</v>
      </c>
      <c r="H1" s="40"/>
      <c r="I1" s="40" t="s">
        <v>0</v>
      </c>
      <c r="J1" s="40"/>
      <c r="K1" s="2" t="s">
        <v>5</v>
      </c>
      <c r="L1" s="40" t="s">
        <v>6</v>
      </c>
      <c r="M1" s="40"/>
      <c r="N1" s="40" t="s">
        <v>1</v>
      </c>
      <c r="O1" s="40"/>
    </row>
    <row r="2" spans="1:18" x14ac:dyDescent="0.25">
      <c r="A2" s="19" t="s">
        <v>11</v>
      </c>
      <c r="B2" s="20"/>
      <c r="C2" s="20"/>
      <c r="D2" s="21"/>
      <c r="E2" s="17" t="s">
        <v>12</v>
      </c>
      <c r="F2" s="18"/>
      <c r="G2" s="18">
        <v>4305371</v>
      </c>
      <c r="H2" s="18"/>
      <c r="I2" s="18"/>
      <c r="J2" s="18"/>
      <c r="K2" s="4"/>
      <c r="L2" s="18"/>
      <c r="M2" s="18"/>
      <c r="N2" s="18"/>
      <c r="O2" s="18"/>
    </row>
    <row r="3" spans="1:18" x14ac:dyDescent="0.25">
      <c r="A3" s="14"/>
      <c r="B3" s="15"/>
      <c r="C3" s="15"/>
      <c r="D3" s="16"/>
      <c r="E3" s="17" t="s">
        <v>12</v>
      </c>
      <c r="F3" s="18"/>
      <c r="G3" s="18">
        <v>4305372</v>
      </c>
      <c r="H3" s="18"/>
      <c r="I3" s="22"/>
      <c r="J3" s="22"/>
      <c r="K3" s="3"/>
      <c r="L3" s="22"/>
      <c r="M3" s="22"/>
      <c r="N3" s="22"/>
      <c r="O3" s="22"/>
    </row>
    <row r="4" spans="1:18" x14ac:dyDescent="0.25">
      <c r="A4" s="14"/>
      <c r="B4" s="15"/>
      <c r="C4" s="15"/>
      <c r="D4" s="16"/>
      <c r="E4" s="17" t="s">
        <v>12</v>
      </c>
      <c r="F4" s="18"/>
      <c r="G4" s="18">
        <v>4305373</v>
      </c>
      <c r="H4" s="18"/>
      <c r="I4" s="22"/>
      <c r="J4" s="22"/>
      <c r="K4" s="3"/>
      <c r="L4" s="22"/>
      <c r="M4" s="22"/>
      <c r="N4" s="22"/>
      <c r="O4" s="22"/>
    </row>
    <row r="5" spans="1:18" x14ac:dyDescent="0.25">
      <c r="A5" s="14"/>
      <c r="B5" s="15"/>
      <c r="C5" s="15"/>
      <c r="D5" s="16"/>
      <c r="E5" s="17" t="s">
        <v>12</v>
      </c>
      <c r="F5" s="18"/>
      <c r="G5" s="18">
        <v>4305374</v>
      </c>
      <c r="H5" s="18"/>
      <c r="I5" s="18">
        <v>32</v>
      </c>
      <c r="J5" s="18"/>
      <c r="K5" s="4">
        <v>481</v>
      </c>
      <c r="L5" s="18">
        <v>9.6300000000000008</v>
      </c>
      <c r="M5" s="18"/>
      <c r="N5" s="18">
        <f>K5*L5</f>
        <v>4632.0300000000007</v>
      </c>
      <c r="O5" s="18"/>
    </row>
    <row r="6" spans="1:18" x14ac:dyDescent="0.25">
      <c r="A6" s="19" t="s">
        <v>9</v>
      </c>
      <c r="B6" s="20"/>
      <c r="C6" s="20"/>
      <c r="D6" s="21"/>
      <c r="E6" s="17" t="s">
        <v>13</v>
      </c>
      <c r="F6" s="18"/>
      <c r="G6" s="18">
        <v>4305422</v>
      </c>
      <c r="H6" s="18"/>
      <c r="I6" s="22"/>
      <c r="J6" s="22"/>
      <c r="K6" s="3"/>
      <c r="L6" s="22"/>
      <c r="M6" s="22"/>
      <c r="N6" s="22"/>
      <c r="O6" s="22"/>
    </row>
    <row r="7" spans="1:18" x14ac:dyDescent="0.25">
      <c r="A7" s="14"/>
      <c r="B7" s="15"/>
      <c r="C7" s="15"/>
      <c r="D7" s="16"/>
      <c r="E7" s="17" t="s">
        <v>13</v>
      </c>
      <c r="F7" s="18"/>
      <c r="G7" s="18">
        <v>4305423</v>
      </c>
      <c r="H7" s="18"/>
      <c r="I7" s="22"/>
      <c r="J7" s="22"/>
      <c r="K7" s="3"/>
      <c r="L7" s="22"/>
      <c r="M7" s="22"/>
      <c r="N7" s="22"/>
      <c r="O7" s="22"/>
    </row>
    <row r="8" spans="1:18" x14ac:dyDescent="0.25">
      <c r="A8" s="14"/>
      <c r="B8" s="15"/>
      <c r="C8" s="15"/>
      <c r="D8" s="16"/>
      <c r="E8" s="17" t="s">
        <v>13</v>
      </c>
      <c r="F8" s="18"/>
      <c r="G8" s="22">
        <v>4305424</v>
      </c>
      <c r="H8" s="22"/>
      <c r="I8" s="18">
        <v>8</v>
      </c>
      <c r="J8" s="18"/>
      <c r="K8" s="4">
        <v>773</v>
      </c>
      <c r="L8" s="18">
        <v>8.1</v>
      </c>
      <c r="M8" s="18"/>
      <c r="N8" s="18">
        <f>K8*L8</f>
        <v>6261.2999999999993</v>
      </c>
      <c r="O8" s="18"/>
      <c r="R8" s="1" t="s">
        <v>10</v>
      </c>
    </row>
    <row r="9" spans="1:18" x14ac:dyDescent="0.25">
      <c r="A9" s="19" t="s">
        <v>11</v>
      </c>
      <c r="B9" s="20"/>
      <c r="C9" s="20"/>
      <c r="D9" s="21"/>
      <c r="E9" s="17" t="s">
        <v>14</v>
      </c>
      <c r="F9" s="18"/>
      <c r="G9" s="18">
        <v>4305425</v>
      </c>
      <c r="H9" s="18"/>
      <c r="I9" s="22"/>
      <c r="J9" s="22"/>
      <c r="K9" s="3"/>
      <c r="L9" s="22"/>
      <c r="M9" s="22"/>
      <c r="N9" s="22"/>
      <c r="O9" s="22"/>
    </row>
    <row r="10" spans="1:18" x14ac:dyDescent="0.25">
      <c r="A10" s="14"/>
      <c r="B10" s="15"/>
      <c r="C10" s="15"/>
      <c r="D10" s="16"/>
      <c r="E10" s="17" t="s">
        <v>14</v>
      </c>
      <c r="F10" s="18"/>
      <c r="G10" s="18">
        <v>4305426</v>
      </c>
      <c r="H10" s="18"/>
      <c r="I10" s="18">
        <v>32</v>
      </c>
      <c r="J10" s="18"/>
      <c r="K10" s="4">
        <v>210</v>
      </c>
      <c r="L10" s="18">
        <v>9.6300000000000008</v>
      </c>
      <c r="M10" s="18"/>
      <c r="N10" s="18">
        <f>K10*L10</f>
        <v>2022.3000000000002</v>
      </c>
      <c r="O10" s="18"/>
    </row>
    <row r="11" spans="1:18" x14ac:dyDescent="0.25">
      <c r="A11" s="19" t="s">
        <v>15</v>
      </c>
      <c r="B11" s="20"/>
      <c r="C11" s="20"/>
      <c r="D11" s="21"/>
      <c r="E11" s="17" t="s">
        <v>16</v>
      </c>
      <c r="F11" s="18"/>
      <c r="G11" s="18">
        <v>4305453</v>
      </c>
      <c r="H11" s="18"/>
      <c r="I11" s="22"/>
      <c r="J11" s="22"/>
      <c r="K11" s="3"/>
      <c r="L11" s="22"/>
      <c r="M11" s="22"/>
      <c r="N11" s="22"/>
      <c r="O11" s="22"/>
    </row>
    <row r="12" spans="1:18" x14ac:dyDescent="0.25">
      <c r="A12" s="14"/>
      <c r="B12" s="15"/>
      <c r="C12" s="15"/>
      <c r="D12" s="16"/>
      <c r="E12" s="17" t="s">
        <v>16</v>
      </c>
      <c r="F12" s="18"/>
      <c r="G12" s="18">
        <v>4305454</v>
      </c>
      <c r="H12" s="18"/>
      <c r="I12" s="22"/>
      <c r="J12" s="22"/>
      <c r="K12" s="3"/>
      <c r="L12" s="22"/>
      <c r="M12" s="22"/>
      <c r="N12" s="22"/>
      <c r="O12" s="22"/>
    </row>
    <row r="13" spans="1:18" x14ac:dyDescent="0.25">
      <c r="A13" s="14"/>
      <c r="B13" s="15"/>
      <c r="C13" s="15"/>
      <c r="D13" s="16"/>
      <c r="E13" s="17" t="s">
        <v>16</v>
      </c>
      <c r="F13" s="18"/>
      <c r="G13" s="18">
        <v>4305455</v>
      </c>
      <c r="H13" s="18"/>
      <c r="I13" s="18">
        <v>8</v>
      </c>
      <c r="J13" s="18"/>
      <c r="K13" s="4">
        <v>157</v>
      </c>
      <c r="L13" s="18">
        <v>8.1</v>
      </c>
      <c r="M13" s="18"/>
      <c r="N13" s="18">
        <f>K13*L13</f>
        <v>1271.7</v>
      </c>
      <c r="O13" s="18"/>
    </row>
    <row r="14" spans="1:18" x14ac:dyDescent="0.25">
      <c r="A14" s="19" t="s">
        <v>18</v>
      </c>
      <c r="B14" s="20"/>
      <c r="C14" s="20"/>
      <c r="D14" s="21"/>
      <c r="E14" s="17" t="s">
        <v>17</v>
      </c>
      <c r="F14" s="18"/>
      <c r="G14" s="18">
        <v>4305481</v>
      </c>
      <c r="H14" s="18"/>
      <c r="I14" s="22"/>
      <c r="J14" s="22"/>
      <c r="K14" s="3"/>
      <c r="L14" s="22"/>
      <c r="M14" s="22"/>
      <c r="N14" s="22"/>
      <c r="O14" s="22"/>
    </row>
    <row r="15" spans="1:18" x14ac:dyDescent="0.25">
      <c r="A15" s="14"/>
      <c r="B15" s="15"/>
      <c r="C15" s="15"/>
      <c r="D15" s="16"/>
      <c r="E15" s="17" t="s">
        <v>17</v>
      </c>
      <c r="F15" s="18"/>
      <c r="G15" s="18">
        <v>4305482</v>
      </c>
      <c r="H15" s="18"/>
      <c r="I15" s="18">
        <v>8</v>
      </c>
      <c r="J15" s="18"/>
      <c r="K15" s="5">
        <v>625</v>
      </c>
      <c r="L15" s="18">
        <v>8.1</v>
      </c>
      <c r="M15" s="18"/>
      <c r="N15" s="18">
        <f>K15*L15</f>
        <v>5062.5</v>
      </c>
      <c r="O15" s="18"/>
    </row>
    <row r="16" spans="1:18" x14ac:dyDescent="0.25">
      <c r="A16" s="19" t="s">
        <v>11</v>
      </c>
      <c r="B16" s="20"/>
      <c r="C16" s="20"/>
      <c r="D16" s="21"/>
      <c r="E16" s="17" t="s">
        <v>19</v>
      </c>
      <c r="F16" s="18"/>
      <c r="G16" s="18">
        <v>43059015</v>
      </c>
      <c r="H16" s="18"/>
      <c r="I16" s="18">
        <v>32</v>
      </c>
      <c r="J16" s="18"/>
      <c r="K16" s="5">
        <v>400</v>
      </c>
      <c r="L16" s="18">
        <v>9.6300000000000008</v>
      </c>
      <c r="M16" s="18"/>
      <c r="N16" s="18">
        <f>K16*L16</f>
        <v>3852.0000000000005</v>
      </c>
      <c r="O16" s="18"/>
    </row>
    <row r="17" spans="1:25" x14ac:dyDescent="0.25">
      <c r="A17" s="29" t="s">
        <v>20</v>
      </c>
      <c r="B17" s="30"/>
      <c r="C17" s="30"/>
      <c r="D17" s="31"/>
      <c r="E17" s="17" t="s">
        <v>21</v>
      </c>
      <c r="F17" s="18"/>
      <c r="G17" s="18">
        <v>4305489</v>
      </c>
      <c r="H17" s="18"/>
      <c r="I17" s="18">
        <v>8</v>
      </c>
      <c r="J17" s="18"/>
      <c r="K17" s="5">
        <v>707</v>
      </c>
      <c r="L17" s="18">
        <v>8.1</v>
      </c>
      <c r="M17" s="18"/>
      <c r="N17" s="18">
        <f>K17*L17</f>
        <v>5726.7</v>
      </c>
      <c r="O17" s="18"/>
    </row>
    <row r="18" spans="1:25" x14ac:dyDescent="0.25">
      <c r="A18" s="50" t="s">
        <v>27</v>
      </c>
      <c r="B18" s="50"/>
      <c r="C18" s="50"/>
      <c r="D18" s="50"/>
      <c r="E18" s="47" t="s">
        <v>23</v>
      </c>
      <c r="F18" s="33"/>
      <c r="G18" s="51">
        <v>4059058</v>
      </c>
      <c r="H18" s="52"/>
      <c r="I18" s="51"/>
      <c r="J18" s="52"/>
      <c r="K18" s="7"/>
      <c r="L18" s="51"/>
      <c r="M18" s="52"/>
      <c r="N18" s="51"/>
      <c r="O18" s="52"/>
    </row>
    <row r="19" spans="1:25" x14ac:dyDescent="0.25">
      <c r="A19" s="48"/>
      <c r="B19" s="53"/>
      <c r="C19" s="53"/>
      <c r="D19" s="49"/>
      <c r="E19" s="47" t="s">
        <v>23</v>
      </c>
      <c r="F19" s="33"/>
      <c r="G19" s="51">
        <v>4059059</v>
      </c>
      <c r="H19" s="52"/>
      <c r="I19" s="48">
        <v>42</v>
      </c>
      <c r="J19" s="49"/>
      <c r="K19" s="9">
        <v>225</v>
      </c>
      <c r="L19" s="48">
        <v>10.02</v>
      </c>
      <c r="M19" s="49"/>
      <c r="N19" s="48">
        <f>K19*L19</f>
        <v>2254.5</v>
      </c>
      <c r="O19" s="49"/>
    </row>
    <row r="20" spans="1:25" x14ac:dyDescent="0.25">
      <c r="A20" s="23" t="s">
        <v>24</v>
      </c>
      <c r="B20" s="24"/>
      <c r="C20" s="24"/>
      <c r="D20" s="24"/>
      <c r="E20" s="35" t="s">
        <v>23</v>
      </c>
      <c r="F20" s="36"/>
      <c r="G20" s="36">
        <v>4059070</v>
      </c>
      <c r="H20" s="36"/>
      <c r="I20" s="39">
        <v>18</v>
      </c>
      <c r="J20" s="32"/>
      <c r="K20" s="11">
        <v>20</v>
      </c>
      <c r="L20" s="32">
        <v>8.4499999999999993</v>
      </c>
      <c r="M20" s="32"/>
      <c r="N20" s="32">
        <f>K20*L20</f>
        <v>169</v>
      </c>
      <c r="O20" s="32"/>
    </row>
    <row r="21" spans="1:25" x14ac:dyDescent="0.25">
      <c r="A21" s="29" t="s">
        <v>25</v>
      </c>
      <c r="B21" s="30"/>
      <c r="C21" s="30"/>
      <c r="D21" s="31"/>
      <c r="E21" s="37" t="s">
        <v>22</v>
      </c>
      <c r="F21" s="38"/>
      <c r="G21" s="38">
        <v>4059071</v>
      </c>
      <c r="H21" s="38"/>
      <c r="I21" s="33">
        <v>18</v>
      </c>
      <c r="J21" s="33"/>
      <c r="K21" s="7">
        <v>81</v>
      </c>
      <c r="L21" s="33">
        <v>8.4499999999999993</v>
      </c>
      <c r="M21" s="33"/>
      <c r="N21" s="33">
        <f>K21*L21</f>
        <v>684.44999999999993</v>
      </c>
      <c r="O21" s="33"/>
    </row>
    <row r="22" spans="1:25" s="10" customFormat="1" x14ac:dyDescent="0.25">
      <c r="A22" s="44" t="s">
        <v>26</v>
      </c>
      <c r="B22" s="45"/>
      <c r="C22" s="45"/>
      <c r="D22" s="46"/>
      <c r="E22" s="47" t="s">
        <v>22</v>
      </c>
      <c r="F22" s="33"/>
      <c r="G22" s="48">
        <v>4059060</v>
      </c>
      <c r="H22" s="49"/>
      <c r="I22" s="48">
        <v>18</v>
      </c>
      <c r="J22" s="49"/>
      <c r="K22" s="9">
        <v>29</v>
      </c>
      <c r="L22" s="48">
        <v>8.4499999999999993</v>
      </c>
      <c r="M22" s="49"/>
      <c r="N22" s="36">
        <f>K22*L22</f>
        <v>245.04999999999998</v>
      </c>
      <c r="O22" s="36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23" t="s">
        <v>11</v>
      </c>
      <c r="B23" s="24"/>
      <c r="C23" s="24"/>
      <c r="D23" s="24"/>
      <c r="E23" s="35" t="s">
        <v>22</v>
      </c>
      <c r="F23" s="36"/>
      <c r="G23" s="39">
        <v>4059072</v>
      </c>
      <c r="H23" s="32"/>
      <c r="I23" s="25"/>
      <c r="J23" s="25"/>
      <c r="K23" s="8"/>
      <c r="L23" s="25"/>
      <c r="M23" s="25"/>
      <c r="N23" s="25"/>
      <c r="O23" s="25"/>
    </row>
    <row r="24" spans="1:25" x14ac:dyDescent="0.25">
      <c r="A24" s="14"/>
      <c r="B24" s="15"/>
      <c r="C24" s="15"/>
      <c r="D24" s="16"/>
      <c r="E24" s="34" t="s">
        <v>22</v>
      </c>
      <c r="F24" s="32"/>
      <c r="G24" s="18">
        <v>4059073</v>
      </c>
      <c r="H24" s="18"/>
      <c r="I24" s="18">
        <v>32</v>
      </c>
      <c r="J24" s="18"/>
      <c r="K24" s="5">
        <v>269</v>
      </c>
      <c r="L24" s="18">
        <v>9.6300000000000008</v>
      </c>
      <c r="M24" s="18"/>
      <c r="N24" s="18">
        <f>K24*L24</f>
        <v>2590.4700000000003</v>
      </c>
      <c r="O24" s="18"/>
    </row>
    <row r="25" spans="1:25" x14ac:dyDescent="0.25">
      <c r="A25" s="19" t="s">
        <v>15</v>
      </c>
      <c r="B25" s="20"/>
      <c r="C25" s="20"/>
      <c r="D25" s="21"/>
      <c r="E25" s="17" t="s">
        <v>28</v>
      </c>
      <c r="F25" s="18"/>
      <c r="G25" s="18">
        <v>4059100</v>
      </c>
      <c r="H25" s="18"/>
      <c r="I25" s="22"/>
      <c r="J25" s="22"/>
      <c r="K25" s="3"/>
      <c r="L25" s="22"/>
      <c r="M25" s="22"/>
      <c r="N25" s="22"/>
      <c r="O25" s="22"/>
    </row>
    <row r="26" spans="1:25" x14ac:dyDescent="0.25">
      <c r="A26" s="14"/>
      <c r="B26" s="15"/>
      <c r="C26" s="15"/>
      <c r="D26" s="16"/>
      <c r="E26" s="17" t="s">
        <v>28</v>
      </c>
      <c r="F26" s="18"/>
      <c r="G26" s="18">
        <v>4059099</v>
      </c>
      <c r="H26" s="18"/>
      <c r="I26" s="22"/>
      <c r="J26" s="22"/>
      <c r="K26" s="3"/>
      <c r="L26" s="22"/>
      <c r="M26" s="22"/>
      <c r="N26" s="22"/>
      <c r="O26" s="22"/>
    </row>
    <row r="27" spans="1:25" x14ac:dyDescent="0.25">
      <c r="A27" s="14"/>
      <c r="B27" s="15"/>
      <c r="C27" s="15"/>
      <c r="D27" s="16"/>
      <c r="E27" s="17" t="s">
        <v>28</v>
      </c>
      <c r="F27" s="18"/>
      <c r="G27" s="18">
        <v>4059101</v>
      </c>
      <c r="H27" s="18"/>
      <c r="I27" s="22"/>
      <c r="J27" s="22"/>
      <c r="K27" s="3"/>
      <c r="L27" s="22"/>
      <c r="M27" s="22"/>
      <c r="N27" s="22"/>
      <c r="O27" s="22"/>
    </row>
    <row r="28" spans="1:25" x14ac:dyDescent="0.25">
      <c r="A28" s="14"/>
      <c r="B28" s="15"/>
      <c r="C28" s="15"/>
      <c r="D28" s="16"/>
      <c r="E28" s="17" t="s">
        <v>28</v>
      </c>
      <c r="F28" s="18"/>
      <c r="G28" s="18">
        <v>4059102</v>
      </c>
      <c r="H28" s="18"/>
      <c r="I28" s="18">
        <v>8</v>
      </c>
      <c r="J28" s="18"/>
      <c r="K28" s="12">
        <v>275</v>
      </c>
      <c r="L28" s="18">
        <v>8.1</v>
      </c>
      <c r="M28" s="18"/>
      <c r="N28" s="18">
        <f>K28*L28</f>
        <v>2227.5</v>
      </c>
      <c r="O28" s="18"/>
    </row>
    <row r="29" spans="1:25" x14ac:dyDescent="0.25">
      <c r="A29" s="19" t="s">
        <v>35</v>
      </c>
      <c r="B29" s="20"/>
      <c r="C29" s="20"/>
      <c r="D29" s="21"/>
      <c r="E29" s="17" t="s">
        <v>28</v>
      </c>
      <c r="F29" s="18"/>
      <c r="G29" s="18">
        <v>4059098</v>
      </c>
      <c r="H29" s="18"/>
      <c r="I29" s="22"/>
      <c r="J29" s="22"/>
      <c r="K29" s="3"/>
      <c r="L29" s="22"/>
      <c r="M29" s="22"/>
      <c r="N29" s="22"/>
      <c r="O29" s="22"/>
    </row>
    <row r="30" spans="1:25" x14ac:dyDescent="0.25">
      <c r="A30" s="14"/>
      <c r="B30" s="15"/>
      <c r="C30" s="15"/>
      <c r="D30" s="16"/>
      <c r="E30" s="17" t="s">
        <v>28</v>
      </c>
      <c r="F30" s="18"/>
      <c r="G30" s="18">
        <v>4059097</v>
      </c>
      <c r="H30" s="18"/>
      <c r="I30" s="22"/>
      <c r="J30" s="22"/>
      <c r="K30" s="3"/>
      <c r="L30" s="22"/>
      <c r="M30" s="22"/>
      <c r="N30" s="22"/>
      <c r="O30" s="22"/>
    </row>
    <row r="31" spans="1:25" x14ac:dyDescent="0.25">
      <c r="A31" s="14"/>
      <c r="B31" s="15"/>
      <c r="C31" s="15"/>
      <c r="D31" s="16"/>
      <c r="E31" s="17" t="s">
        <v>28</v>
      </c>
      <c r="F31" s="18"/>
      <c r="G31" s="18">
        <v>4059096</v>
      </c>
      <c r="H31" s="18"/>
      <c r="I31" s="18">
        <v>8</v>
      </c>
      <c r="J31" s="18"/>
      <c r="K31" s="5">
        <v>38</v>
      </c>
      <c r="L31" s="18">
        <v>8.1</v>
      </c>
      <c r="M31" s="18"/>
      <c r="N31" s="18">
        <f>K31*L31</f>
        <v>307.8</v>
      </c>
      <c r="O31" s="18"/>
    </row>
    <row r="32" spans="1:25" x14ac:dyDescent="0.25">
      <c r="A32" s="23" t="s">
        <v>11</v>
      </c>
      <c r="B32" s="24"/>
      <c r="C32" s="24"/>
      <c r="D32" s="24"/>
      <c r="E32" s="17" t="s">
        <v>29</v>
      </c>
      <c r="F32" s="18"/>
      <c r="G32" s="18">
        <v>4059128</v>
      </c>
      <c r="H32" s="18"/>
      <c r="I32" s="22"/>
      <c r="J32" s="22"/>
      <c r="K32" s="3"/>
      <c r="L32" s="22"/>
      <c r="M32" s="22"/>
      <c r="N32" s="22"/>
      <c r="O32" s="22"/>
    </row>
    <row r="33" spans="1:15" x14ac:dyDescent="0.25">
      <c r="A33" s="14"/>
      <c r="B33" s="15"/>
      <c r="C33" s="15"/>
      <c r="D33" s="16"/>
      <c r="E33" s="17" t="s">
        <v>29</v>
      </c>
      <c r="F33" s="18"/>
      <c r="G33" s="18">
        <v>4059129</v>
      </c>
      <c r="H33" s="18"/>
      <c r="I33" s="18">
        <v>32</v>
      </c>
      <c r="J33" s="18"/>
      <c r="K33" s="5">
        <v>374</v>
      </c>
      <c r="L33" s="18">
        <v>9.6300000000000008</v>
      </c>
      <c r="M33" s="18"/>
      <c r="N33" s="18">
        <f>K33*L33</f>
        <v>3601.6200000000003</v>
      </c>
      <c r="O33" s="18"/>
    </row>
    <row r="34" spans="1:15" x14ac:dyDescent="0.25">
      <c r="A34" s="23" t="s">
        <v>11</v>
      </c>
      <c r="B34" s="24"/>
      <c r="C34" s="24"/>
      <c r="D34" s="24"/>
      <c r="E34" s="17" t="s">
        <v>30</v>
      </c>
      <c r="F34" s="18"/>
      <c r="G34" s="18">
        <v>4059141</v>
      </c>
      <c r="H34" s="18"/>
      <c r="I34" s="22"/>
      <c r="J34" s="22"/>
      <c r="K34" s="3"/>
      <c r="L34" s="22"/>
      <c r="M34" s="22"/>
      <c r="N34" s="22"/>
      <c r="O34" s="22"/>
    </row>
    <row r="35" spans="1:15" x14ac:dyDescent="0.25">
      <c r="A35" s="14"/>
      <c r="B35" s="15"/>
      <c r="C35" s="15"/>
      <c r="D35" s="16"/>
      <c r="E35" s="17" t="s">
        <v>30</v>
      </c>
      <c r="F35" s="18"/>
      <c r="G35" s="18">
        <v>4059142</v>
      </c>
      <c r="H35" s="18"/>
      <c r="I35" s="18">
        <v>32</v>
      </c>
      <c r="J35" s="18"/>
      <c r="K35" s="6">
        <v>654</v>
      </c>
      <c r="L35" s="18">
        <v>9.6300000000000008</v>
      </c>
      <c r="M35" s="18"/>
      <c r="N35" s="18">
        <f>K35*L35</f>
        <v>6298.02</v>
      </c>
      <c r="O35" s="18"/>
    </row>
    <row r="36" spans="1:15" s="1" customFormat="1" x14ac:dyDescent="0.25">
      <c r="A36" s="23" t="s">
        <v>11</v>
      </c>
      <c r="B36" s="24"/>
      <c r="C36" s="24"/>
      <c r="D36" s="24"/>
      <c r="E36" s="17" t="s">
        <v>31</v>
      </c>
      <c r="F36" s="18"/>
      <c r="G36" s="18">
        <v>4059165</v>
      </c>
      <c r="H36" s="18"/>
      <c r="I36" s="22"/>
      <c r="J36" s="22"/>
      <c r="K36" s="3"/>
      <c r="L36" s="22"/>
      <c r="M36" s="22"/>
      <c r="N36" s="22"/>
      <c r="O36" s="22"/>
    </row>
    <row r="37" spans="1:15" s="1" customFormat="1" x14ac:dyDescent="0.25">
      <c r="A37" s="14"/>
      <c r="B37" s="15"/>
      <c r="C37" s="15"/>
      <c r="D37" s="16"/>
      <c r="E37" s="17" t="s">
        <v>31</v>
      </c>
      <c r="F37" s="18"/>
      <c r="G37" s="18">
        <v>4059166</v>
      </c>
      <c r="H37" s="18"/>
      <c r="I37" s="18">
        <v>32</v>
      </c>
      <c r="J37" s="18"/>
      <c r="K37" s="6">
        <v>256</v>
      </c>
      <c r="L37" s="18">
        <v>9.6300000000000008</v>
      </c>
      <c r="M37" s="18"/>
      <c r="N37" s="18">
        <f>K37*L37</f>
        <v>2465.2800000000002</v>
      </c>
      <c r="O37" s="18"/>
    </row>
    <row r="38" spans="1:15" x14ac:dyDescent="0.25">
      <c r="A38" s="19" t="s">
        <v>32</v>
      </c>
      <c r="B38" s="20"/>
      <c r="C38" s="20"/>
      <c r="D38" s="21"/>
      <c r="E38" s="17" t="s">
        <v>33</v>
      </c>
      <c r="F38" s="18"/>
      <c r="G38" s="18">
        <v>4059202</v>
      </c>
      <c r="H38" s="18"/>
      <c r="I38" s="22"/>
      <c r="J38" s="22"/>
      <c r="K38" s="3"/>
      <c r="L38" s="22"/>
      <c r="M38" s="22"/>
      <c r="N38" s="22"/>
      <c r="O38" s="22"/>
    </row>
    <row r="39" spans="1:15" x14ac:dyDescent="0.25">
      <c r="A39" s="14"/>
      <c r="B39" s="15"/>
      <c r="C39" s="15"/>
      <c r="D39" s="16"/>
      <c r="E39" s="17" t="s">
        <v>33</v>
      </c>
      <c r="F39" s="18"/>
      <c r="G39" s="18">
        <v>4059203</v>
      </c>
      <c r="H39" s="18"/>
      <c r="I39" s="18">
        <v>8</v>
      </c>
      <c r="J39" s="18"/>
      <c r="K39" s="6">
        <v>53</v>
      </c>
      <c r="L39" s="18">
        <v>8.1</v>
      </c>
      <c r="M39" s="18"/>
      <c r="N39" s="18">
        <f>K39*L39</f>
        <v>429.29999999999995</v>
      </c>
      <c r="O39" s="18"/>
    </row>
    <row r="40" spans="1:15" x14ac:dyDescent="0.25">
      <c r="A40" s="19" t="s">
        <v>18</v>
      </c>
      <c r="B40" s="20"/>
      <c r="C40" s="20"/>
      <c r="D40" s="21"/>
      <c r="E40" s="17" t="s">
        <v>33</v>
      </c>
      <c r="F40" s="18"/>
      <c r="G40" s="18">
        <v>4059205</v>
      </c>
      <c r="H40" s="18"/>
      <c r="I40" s="22"/>
      <c r="J40" s="22"/>
      <c r="K40" s="3"/>
      <c r="L40" s="22"/>
      <c r="M40" s="22"/>
      <c r="N40" s="22"/>
      <c r="O40" s="22"/>
    </row>
    <row r="41" spans="1:15" x14ac:dyDescent="0.25">
      <c r="A41" s="14"/>
      <c r="B41" s="15"/>
      <c r="C41" s="15"/>
      <c r="D41" s="16"/>
      <c r="E41" s="17" t="s">
        <v>33</v>
      </c>
      <c r="F41" s="18"/>
      <c r="G41" s="18">
        <v>4059204</v>
      </c>
      <c r="H41" s="18"/>
      <c r="I41" s="18">
        <v>8</v>
      </c>
      <c r="J41" s="18"/>
      <c r="K41" s="13">
        <v>210</v>
      </c>
      <c r="L41" s="18">
        <v>8.1</v>
      </c>
      <c r="M41" s="18"/>
      <c r="N41" s="18">
        <f>K41*L41</f>
        <v>1701</v>
      </c>
      <c r="O41" s="18"/>
    </row>
    <row r="42" spans="1:15" x14ac:dyDescent="0.25">
      <c r="A42" s="19" t="s">
        <v>34</v>
      </c>
      <c r="B42" s="20"/>
      <c r="C42" s="20"/>
      <c r="D42" s="21"/>
      <c r="E42" s="17" t="s">
        <v>33</v>
      </c>
      <c r="F42" s="18"/>
      <c r="G42" s="18">
        <v>4059223</v>
      </c>
      <c r="H42" s="18"/>
      <c r="I42" s="18">
        <v>8</v>
      </c>
      <c r="J42" s="18"/>
      <c r="K42" s="13">
        <v>50</v>
      </c>
      <c r="L42" s="18">
        <v>8.1</v>
      </c>
      <c r="M42" s="18"/>
      <c r="N42" s="18">
        <f>K42*L42</f>
        <v>405</v>
      </c>
      <c r="O42" s="18"/>
    </row>
    <row r="43" spans="1:15" x14ac:dyDescent="0.25">
      <c r="A43" s="14"/>
      <c r="B43" s="15"/>
      <c r="C43" s="15"/>
      <c r="D43" s="16"/>
      <c r="E43" s="17"/>
      <c r="F43" s="18"/>
      <c r="G43" s="18"/>
      <c r="H43" s="18"/>
      <c r="I43" s="22"/>
      <c r="J43" s="22"/>
      <c r="K43" s="3"/>
      <c r="L43" s="22"/>
      <c r="M43" s="22"/>
      <c r="N43" s="22"/>
      <c r="O43" s="22"/>
    </row>
    <row r="44" spans="1:15" x14ac:dyDescent="0.25">
      <c r="A44" s="41" t="s">
        <v>7</v>
      </c>
      <c r="B44" s="41"/>
      <c r="C44" s="41"/>
      <c r="D44" s="41"/>
      <c r="L44" s="42" t="s">
        <v>8</v>
      </c>
      <c r="M44" s="42"/>
      <c r="N44" s="43">
        <f>N5+N8+N10+N13+N15+N16+N17+N19+N20+N21+N22+N24+N31+N33+N35+N37+N39+N41+N42+N28</f>
        <v>52207.520000000004</v>
      </c>
      <c r="O44" s="43"/>
    </row>
  </sheetData>
  <mergeCells count="261">
    <mergeCell ref="A22:D22"/>
    <mergeCell ref="E22:F22"/>
    <mergeCell ref="G22:H22"/>
    <mergeCell ref="I22:J22"/>
    <mergeCell ref="L22:M22"/>
    <mergeCell ref="N22:O22"/>
    <mergeCell ref="A18:D18"/>
    <mergeCell ref="E18:F18"/>
    <mergeCell ref="G18:H18"/>
    <mergeCell ref="I18:J18"/>
    <mergeCell ref="L18:M18"/>
    <mergeCell ref="N18:O18"/>
    <mergeCell ref="A19:D19"/>
    <mergeCell ref="E19:F19"/>
    <mergeCell ref="G19:H19"/>
    <mergeCell ref="I19:J19"/>
    <mergeCell ref="L19:M19"/>
    <mergeCell ref="N19:O19"/>
    <mergeCell ref="N21:O21"/>
    <mergeCell ref="N20:O20"/>
    <mergeCell ref="I37:J37"/>
    <mergeCell ref="L37:M37"/>
    <mergeCell ref="N37:O37"/>
    <mergeCell ref="A36:D36"/>
    <mergeCell ref="A44:D44"/>
    <mergeCell ref="L44:M44"/>
    <mergeCell ref="N44:O44"/>
    <mergeCell ref="E36:F36"/>
    <mergeCell ref="G36:H36"/>
    <mergeCell ref="I36:J36"/>
    <mergeCell ref="L36:M36"/>
    <mergeCell ref="N36:O36"/>
    <mergeCell ref="A37:D37"/>
    <mergeCell ref="E37:F37"/>
    <mergeCell ref="G37:H37"/>
    <mergeCell ref="G43:H43"/>
    <mergeCell ref="E43:F43"/>
    <mergeCell ref="A43:D43"/>
    <mergeCell ref="N40:O40"/>
    <mergeCell ref="L40:M40"/>
    <mergeCell ref="I40:J40"/>
    <mergeCell ref="G40:H40"/>
    <mergeCell ref="E40:F40"/>
    <mergeCell ref="A40:D40"/>
    <mergeCell ref="I14:J14"/>
    <mergeCell ref="N4:O4"/>
    <mergeCell ref="N3:O3"/>
    <mergeCell ref="I1:J1"/>
    <mergeCell ref="I43:J43"/>
    <mergeCell ref="L43:M43"/>
    <mergeCell ref="N43:O43"/>
    <mergeCell ref="E13:F13"/>
    <mergeCell ref="E14:F14"/>
    <mergeCell ref="E29:F29"/>
    <mergeCell ref="I30:J30"/>
    <mergeCell ref="L30:M30"/>
    <mergeCell ref="E15:F15"/>
    <mergeCell ref="E17:F17"/>
    <mergeCell ref="I17:J17"/>
    <mergeCell ref="G14:H14"/>
    <mergeCell ref="G15:H15"/>
    <mergeCell ref="G16:H16"/>
    <mergeCell ref="G17:H17"/>
    <mergeCell ref="E16:F16"/>
    <mergeCell ref="I16:J16"/>
    <mergeCell ref="I15:J15"/>
    <mergeCell ref="L1:M1"/>
    <mergeCell ref="N1:O1"/>
    <mergeCell ref="E1:F1"/>
    <mergeCell ref="G1:H1"/>
    <mergeCell ref="G9:H9"/>
    <mergeCell ref="G10:H10"/>
    <mergeCell ref="N2:O2"/>
    <mergeCell ref="G11:H11"/>
    <mergeCell ref="L2:M2"/>
    <mergeCell ref="L3:M3"/>
    <mergeCell ref="L4:M4"/>
    <mergeCell ref="L5:M5"/>
    <mergeCell ref="L6:M6"/>
    <mergeCell ref="L7:M7"/>
    <mergeCell ref="L8:M8"/>
    <mergeCell ref="E2:F2"/>
    <mergeCell ref="E3:F3"/>
    <mergeCell ref="E4:F4"/>
    <mergeCell ref="E5:F5"/>
    <mergeCell ref="E12:F12"/>
    <mergeCell ref="E6:F6"/>
    <mergeCell ref="E7:F7"/>
    <mergeCell ref="E8:F8"/>
    <mergeCell ref="E10:F10"/>
    <mergeCell ref="E11:F11"/>
    <mergeCell ref="E9:F9"/>
    <mergeCell ref="I2:J2"/>
    <mergeCell ref="I3:J3"/>
    <mergeCell ref="I4:J4"/>
    <mergeCell ref="I5:J5"/>
    <mergeCell ref="I6:J6"/>
    <mergeCell ref="I7:J7"/>
    <mergeCell ref="G12:H12"/>
    <mergeCell ref="G13:H13"/>
    <mergeCell ref="G2:H2"/>
    <mergeCell ref="G3:H3"/>
    <mergeCell ref="G4:H4"/>
    <mergeCell ref="G5:H5"/>
    <mergeCell ref="G6:H6"/>
    <mergeCell ref="G7:H7"/>
    <mergeCell ref="G8:H8"/>
    <mergeCell ref="I10:J10"/>
    <mergeCell ref="I11:J11"/>
    <mergeCell ref="I12:J12"/>
    <mergeCell ref="I13:J13"/>
    <mergeCell ref="I8:J8"/>
    <mergeCell ref="I9:J9"/>
    <mergeCell ref="N17:O17"/>
    <mergeCell ref="N16:O16"/>
    <mergeCell ref="N10:O10"/>
    <mergeCell ref="N9:O9"/>
    <mergeCell ref="N8:O8"/>
    <mergeCell ref="N7:O7"/>
    <mergeCell ref="N6:O6"/>
    <mergeCell ref="N5:O5"/>
    <mergeCell ref="L11:M11"/>
    <mergeCell ref="L12:M12"/>
    <mergeCell ref="L13:M13"/>
    <mergeCell ref="L14:M14"/>
    <mergeCell ref="L15:M15"/>
    <mergeCell ref="N15:O15"/>
    <mergeCell ref="L9:M9"/>
    <mergeCell ref="L10:M10"/>
    <mergeCell ref="N14:O14"/>
    <mergeCell ref="N13:O13"/>
    <mergeCell ref="N12:O12"/>
    <mergeCell ref="N11:O11"/>
    <mergeCell ref="L16:M16"/>
    <mergeCell ref="L17:M17"/>
    <mergeCell ref="E35:F35"/>
    <mergeCell ref="E34:F34"/>
    <mergeCell ref="E33:F33"/>
    <mergeCell ref="E27:F27"/>
    <mergeCell ref="E25:F25"/>
    <mergeCell ref="A32:D32"/>
    <mergeCell ref="A33:D33"/>
    <mergeCell ref="A34:D34"/>
    <mergeCell ref="A35:D35"/>
    <mergeCell ref="A28:D28"/>
    <mergeCell ref="A29:D29"/>
    <mergeCell ref="A30:D30"/>
    <mergeCell ref="A31:D31"/>
    <mergeCell ref="E26:F26"/>
    <mergeCell ref="E24:F24"/>
    <mergeCell ref="E23:F23"/>
    <mergeCell ref="E21:F21"/>
    <mergeCell ref="E20:F20"/>
    <mergeCell ref="I32:J32"/>
    <mergeCell ref="I31:J31"/>
    <mergeCell ref="I29:J29"/>
    <mergeCell ref="I28:J28"/>
    <mergeCell ref="I27:J27"/>
    <mergeCell ref="E32:F32"/>
    <mergeCell ref="E31:F31"/>
    <mergeCell ref="E30:F30"/>
    <mergeCell ref="E28:F28"/>
    <mergeCell ref="G20:H20"/>
    <mergeCell ref="G21:H21"/>
    <mergeCell ref="G23:H23"/>
    <mergeCell ref="G24:H24"/>
    <mergeCell ref="I24:J24"/>
    <mergeCell ref="I23:J23"/>
    <mergeCell ref="I21:J21"/>
    <mergeCell ref="I20:J20"/>
    <mergeCell ref="G25:H25"/>
    <mergeCell ref="G26:H26"/>
    <mergeCell ref="L24:M24"/>
    <mergeCell ref="L33:M33"/>
    <mergeCell ref="L20:M20"/>
    <mergeCell ref="L21:M21"/>
    <mergeCell ref="L23:M23"/>
    <mergeCell ref="G33:H33"/>
    <mergeCell ref="G34:H34"/>
    <mergeCell ref="G35:H35"/>
    <mergeCell ref="I35:J35"/>
    <mergeCell ref="L35:M35"/>
    <mergeCell ref="I34:J34"/>
    <mergeCell ref="I33:J33"/>
    <mergeCell ref="I25:J25"/>
    <mergeCell ref="N23:O23"/>
    <mergeCell ref="G27:H27"/>
    <mergeCell ref="G28:H28"/>
    <mergeCell ref="G29:H29"/>
    <mergeCell ref="G30:H30"/>
    <mergeCell ref="G31:H31"/>
    <mergeCell ref="G32:H32"/>
    <mergeCell ref="I26:J26"/>
    <mergeCell ref="A1:D1"/>
    <mergeCell ref="A3:D3"/>
    <mergeCell ref="A4:D4"/>
    <mergeCell ref="A17:D17"/>
    <mergeCell ref="A20:D20"/>
    <mergeCell ref="A21:D21"/>
    <mergeCell ref="A13:D13"/>
    <mergeCell ref="A14:D14"/>
    <mergeCell ref="A15:D15"/>
    <mergeCell ref="A16:D16"/>
    <mergeCell ref="A2:D2"/>
    <mergeCell ref="A10:D10"/>
    <mergeCell ref="A8:D8"/>
    <mergeCell ref="A9:D9"/>
    <mergeCell ref="A11:D11"/>
    <mergeCell ref="A12:D12"/>
    <mergeCell ref="A6:D6"/>
    <mergeCell ref="A5:D5"/>
    <mergeCell ref="A7:D7"/>
    <mergeCell ref="E39:F39"/>
    <mergeCell ref="G39:H39"/>
    <mergeCell ref="N39:O39"/>
    <mergeCell ref="L39:M39"/>
    <mergeCell ref="I39:J39"/>
    <mergeCell ref="A38:D38"/>
    <mergeCell ref="A39:D39"/>
    <mergeCell ref="E38:F38"/>
    <mergeCell ref="A24:D24"/>
    <mergeCell ref="A26:D26"/>
    <mergeCell ref="A27:D27"/>
    <mergeCell ref="A23:D23"/>
    <mergeCell ref="A25:D25"/>
    <mergeCell ref="N38:O38"/>
    <mergeCell ref="L38:M38"/>
    <mergeCell ref="I38:J38"/>
    <mergeCell ref="G38:H38"/>
    <mergeCell ref="N26:O26"/>
    <mergeCell ref="N25:O25"/>
    <mergeCell ref="N24:O24"/>
    <mergeCell ref="L34:M34"/>
    <mergeCell ref="N35:O35"/>
    <mergeCell ref="N34:O34"/>
    <mergeCell ref="N33:O33"/>
    <mergeCell ref="L27:M27"/>
    <mergeCell ref="L28:M28"/>
    <mergeCell ref="L29:M29"/>
    <mergeCell ref="L31:M31"/>
    <mergeCell ref="L32:M32"/>
    <mergeCell ref="L25:M25"/>
    <mergeCell ref="L26:M26"/>
    <mergeCell ref="N32:O32"/>
    <mergeCell ref="N31:O31"/>
    <mergeCell ref="N30:O30"/>
    <mergeCell ref="N29:O29"/>
    <mergeCell ref="N28:O28"/>
    <mergeCell ref="N27:O27"/>
    <mergeCell ref="A41:D41"/>
    <mergeCell ref="E41:F41"/>
    <mergeCell ref="G41:H41"/>
    <mergeCell ref="I42:J42"/>
    <mergeCell ref="L42:M42"/>
    <mergeCell ref="N42:O42"/>
    <mergeCell ref="G42:H42"/>
    <mergeCell ref="E42:F42"/>
    <mergeCell ref="A42:D42"/>
    <mergeCell ref="I41:J41"/>
    <mergeCell ref="L41:M41"/>
    <mergeCell ref="N41:O4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&amp;C&amp;"-,Bold"DCA MULTITUDE TRADING CORPORATION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Ricafrente</dc:creator>
  <cp:lastModifiedBy>Clarence Ricafrente</cp:lastModifiedBy>
  <cp:lastPrinted>2025-07-15T13:35:59Z</cp:lastPrinted>
  <dcterms:created xsi:type="dcterms:W3CDTF">2025-06-07T03:51:48Z</dcterms:created>
  <dcterms:modified xsi:type="dcterms:W3CDTF">2025-08-02T05:17:48Z</dcterms:modified>
</cp:coreProperties>
</file>