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xr:revisionPtr revIDLastSave="0" documentId="13_ncr:1_{41AEF71E-55F0-48E2-A08A-06B1CE1A00B5}" xr6:coauthVersionLast="47" xr6:coauthVersionMax="47" xr10:uidLastSave="{00000000-0000-0000-0000-000000000000}"/>
  <bookViews>
    <workbookView xWindow="-120" yWindow="-120" windowWidth="20730" windowHeight="11310" xr2:uid="{DBA543C0-C587-4DD5-8CE5-2ADD7911A6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8" i="1" l="1"/>
  <c r="N37" i="1"/>
  <c r="N30" i="1"/>
  <c r="N26" i="1"/>
  <c r="N16" i="1"/>
  <c r="N14" i="1"/>
  <c r="N11" i="1"/>
  <c r="N7" i="1"/>
  <c r="N3" i="1"/>
  <c r="N56" i="1"/>
  <c r="N49" i="1"/>
  <c r="N44" i="1"/>
  <c r="N41" i="1"/>
  <c r="N42" i="1"/>
</calcChain>
</file>

<file path=xl/sharedStrings.xml><?xml version="1.0" encoding="utf-8"?>
<sst xmlns="http://schemas.openxmlformats.org/spreadsheetml/2006/main" count="87" uniqueCount="34">
  <si>
    <t>KM</t>
  </si>
  <si>
    <t>Amount</t>
  </si>
  <si>
    <t>Outlet Name</t>
  </si>
  <si>
    <t>Date</t>
  </si>
  <si>
    <t>Sales Invoice</t>
  </si>
  <si>
    <t>Quantity</t>
  </si>
  <si>
    <t>Cost per rate</t>
  </si>
  <si>
    <t>Total:</t>
  </si>
  <si>
    <t xml:space="preserve"> </t>
  </si>
  <si>
    <t>at 55.00/L pump price</t>
  </si>
  <si>
    <t>ALFAMART TRADING PHILIPPINES</t>
  </si>
  <si>
    <t>09/16/25</t>
  </si>
  <si>
    <t>09/17/25</t>
  </si>
  <si>
    <t>09/18/25</t>
  </si>
  <si>
    <t>ILAYA MARKET</t>
  </si>
  <si>
    <t>09/19/25</t>
  </si>
  <si>
    <t>09/20/25</t>
  </si>
  <si>
    <t>SOUTHSTAR DRUG</t>
  </si>
  <si>
    <t>09/22/25</t>
  </si>
  <si>
    <t xml:space="preserve">BMADZ </t>
  </si>
  <si>
    <t>SHOUTHERN LUZON DRUG CORP.</t>
  </si>
  <si>
    <t xml:space="preserve">SUPERVALUE </t>
  </si>
  <si>
    <t>09/23/25</t>
  </si>
  <si>
    <t>METRO RETAIL STORE</t>
  </si>
  <si>
    <t>09/24/25</t>
  </si>
  <si>
    <t>09/25/25</t>
  </si>
  <si>
    <t>09/26/25</t>
  </si>
  <si>
    <t>09/27/25</t>
  </si>
  <si>
    <t>MT. CARMEL</t>
  </si>
  <si>
    <t>09/29/25</t>
  </si>
  <si>
    <t>PALAISDAAN</t>
  </si>
  <si>
    <t>09/30/25</t>
  </si>
  <si>
    <t>ST. JUDE PHARMACY</t>
  </si>
  <si>
    <t>PUREGOLD PRICE CLUB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</si>
</sst>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Border="1"/>
    <xf numFmtId="0" fontId="2" fillId="2" borderId="2" xfId="0" applyFont="1" applyFill="1" applyBorder="1" applyAlignment="1">
      <alignment horizontal="center"/>
    </xf>
    <xf numFmtId="0" fontId="0" fillId="0" borderId="8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14" fontId="3" fillId="0" borderId="3" xfId="0" applyNumberFormat="1" applyFont="1" applyBorder="1" applyAlignment="1">
      <alignment horizontal="center"/>
    </xf>
    <xf numFmtId="14" fontId="3" fillId="0" borderId="4" xfId="0" applyNumberFormat="1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3" fillId="0" borderId="3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0" borderId="4" xfId="0" applyFont="1" applyBorder="1" applyAlignment="1">
      <alignment horizontal="center" vertical="top"/>
    </xf>
    <xf numFmtId="14" fontId="3" fillId="0" borderId="3" xfId="0" applyNumberFormat="1" applyFont="1" applyBorder="1" applyAlignment="1">
      <alignment horizontal="center" vertical="top"/>
    </xf>
    <xf numFmtId="14" fontId="3" fillId="0" borderId="4" xfId="0" applyNumberFormat="1" applyFont="1" applyBorder="1" applyAlignment="1">
      <alignment horizontal="center" vertical="top"/>
    </xf>
    <xf numFmtId="0" fontId="3" fillId="0" borderId="2" xfId="0" applyFont="1" applyBorder="1" applyAlignment="1">
      <alignment horizontal="center" vertical="top"/>
    </xf>
    <xf numFmtId="0" fontId="3" fillId="0" borderId="3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3" fillId="0" borderId="4" xfId="0" applyFont="1" applyBorder="1" applyAlignment="1">
      <alignment horizontal="left" vertical="top"/>
    </xf>
    <xf numFmtId="0" fontId="3" fillId="0" borderId="5" xfId="0" applyFont="1" applyBorder="1" applyAlignment="1">
      <alignment horizontal="center" vertical="top"/>
    </xf>
    <xf numFmtId="0" fontId="3" fillId="0" borderId="7" xfId="0" applyFont="1" applyBorder="1" applyAlignment="1">
      <alignment horizontal="center" vertical="top"/>
    </xf>
    <xf numFmtId="14" fontId="3" fillId="0" borderId="1" xfId="0" applyNumberFormat="1" applyFont="1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13" xfId="0" applyBorder="1" applyAlignment="1">
      <alignment horizontal="center" vertical="top"/>
    </xf>
    <xf numFmtId="0" fontId="3" fillId="0" borderId="10" xfId="0" applyFont="1" applyBorder="1" applyAlignment="1">
      <alignment horizontal="center" vertical="top"/>
    </xf>
    <xf numFmtId="0" fontId="3" fillId="0" borderId="11" xfId="0" applyFont="1" applyBorder="1" applyAlignment="1">
      <alignment horizontal="center" vertical="top"/>
    </xf>
    <xf numFmtId="0" fontId="1" fillId="0" borderId="0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1" fillId="0" borderId="9" xfId="0" applyFont="1" applyBorder="1" applyAlignment="1">
      <alignment horizontal="right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0D0BE6-0B0C-4473-BE65-34A06228CA91}">
  <dimension ref="A1:Y58"/>
  <sheetViews>
    <sheetView tabSelected="1" view="pageLayout" topLeftCell="A39" zoomScale="112" zoomScaleNormal="100" zoomScaleSheetLayoutView="90" zoomScalePageLayoutView="112" workbookViewId="0">
      <selection activeCell="A59" sqref="A59"/>
    </sheetView>
  </sheetViews>
  <sheetFormatPr defaultRowHeight="15" x14ac:dyDescent="0.25"/>
  <cols>
    <col min="1" max="1" width="4.85546875" customWidth="1"/>
    <col min="2" max="2" width="7.140625" customWidth="1"/>
    <col min="3" max="3" width="6" customWidth="1"/>
    <col min="4" max="4" width="8.5703125" customWidth="1"/>
    <col min="5" max="5" width="8.7109375" customWidth="1"/>
    <col min="6" max="6" width="2.85546875" customWidth="1"/>
    <col min="7" max="7" width="8.7109375" customWidth="1"/>
    <col min="8" max="8" width="3" customWidth="1"/>
    <col min="9" max="9" width="3.5703125" customWidth="1"/>
    <col min="10" max="10" width="2.5703125" customWidth="1"/>
    <col min="11" max="11" width="8.140625" customWidth="1"/>
    <col min="12" max="12" width="8.7109375" customWidth="1"/>
    <col min="13" max="13" width="4" customWidth="1"/>
    <col min="14" max="14" width="8.42578125" customWidth="1"/>
    <col min="15" max="15" width="1.85546875" customWidth="1"/>
    <col min="16" max="16" width="8.7109375" customWidth="1"/>
    <col min="18" max="18" width="2.5703125" customWidth="1"/>
  </cols>
  <sheetData>
    <row r="1" spans="1:18" x14ac:dyDescent="0.25">
      <c r="A1" s="13" t="s">
        <v>2</v>
      </c>
      <c r="B1" s="14"/>
      <c r="C1" s="14"/>
      <c r="D1" s="15"/>
      <c r="E1" s="12" t="s">
        <v>3</v>
      </c>
      <c r="F1" s="12"/>
      <c r="G1" s="12" t="s">
        <v>4</v>
      </c>
      <c r="H1" s="12"/>
      <c r="I1" s="12" t="s">
        <v>0</v>
      </c>
      <c r="J1" s="12"/>
      <c r="K1" s="2" t="s">
        <v>5</v>
      </c>
      <c r="L1" s="12" t="s">
        <v>6</v>
      </c>
      <c r="M1" s="12"/>
      <c r="N1" s="12" t="s">
        <v>1</v>
      </c>
      <c r="O1" s="12"/>
    </row>
    <row r="2" spans="1:18" x14ac:dyDescent="0.25">
      <c r="A2" s="5" t="s">
        <v>10</v>
      </c>
      <c r="B2" s="6"/>
      <c r="C2" s="6"/>
      <c r="D2" s="7"/>
      <c r="E2" s="8" t="s">
        <v>11</v>
      </c>
      <c r="F2" s="9"/>
      <c r="G2" s="10">
        <v>1179996</v>
      </c>
      <c r="H2" s="11"/>
      <c r="I2" s="10"/>
      <c r="J2" s="11"/>
      <c r="K2" s="4"/>
      <c r="L2" s="10"/>
      <c r="M2" s="11"/>
      <c r="N2" s="10"/>
      <c r="O2" s="11"/>
    </row>
    <row r="3" spans="1:18" x14ac:dyDescent="0.25">
      <c r="A3" s="5"/>
      <c r="B3" s="6"/>
      <c r="C3" s="6"/>
      <c r="D3" s="7"/>
      <c r="E3" s="8" t="s">
        <v>11</v>
      </c>
      <c r="F3" s="9"/>
      <c r="G3" s="10">
        <v>1179997</v>
      </c>
      <c r="H3" s="11"/>
      <c r="I3" s="10">
        <v>32</v>
      </c>
      <c r="J3" s="11"/>
      <c r="K3" s="4">
        <v>355</v>
      </c>
      <c r="L3" s="10">
        <v>9.49</v>
      </c>
      <c r="M3" s="11"/>
      <c r="N3" s="10">
        <f>K3*L3</f>
        <v>3368.9500000000003</v>
      </c>
      <c r="O3" s="11"/>
    </row>
    <row r="4" spans="1:18" x14ac:dyDescent="0.25">
      <c r="A4" s="5" t="s">
        <v>10</v>
      </c>
      <c r="B4" s="6"/>
      <c r="C4" s="6"/>
      <c r="D4" s="7"/>
      <c r="E4" s="8" t="s">
        <v>12</v>
      </c>
      <c r="F4" s="9"/>
      <c r="G4" s="10">
        <v>1189518</v>
      </c>
      <c r="H4" s="11"/>
      <c r="I4" s="10"/>
      <c r="J4" s="11"/>
      <c r="K4" s="4"/>
      <c r="L4" s="10"/>
      <c r="M4" s="11"/>
      <c r="N4" s="10"/>
      <c r="O4" s="11"/>
    </row>
    <row r="5" spans="1:18" x14ac:dyDescent="0.25">
      <c r="A5" s="5"/>
      <c r="B5" s="6"/>
      <c r="C5" s="6"/>
      <c r="D5" s="7"/>
      <c r="E5" s="8" t="s">
        <v>12</v>
      </c>
      <c r="F5" s="9"/>
      <c r="G5" s="10">
        <v>1189519</v>
      </c>
      <c r="H5" s="11"/>
      <c r="I5" s="10"/>
      <c r="J5" s="11"/>
      <c r="K5" s="4"/>
      <c r="L5" s="10"/>
      <c r="M5" s="11"/>
      <c r="N5" s="10"/>
      <c r="O5" s="11"/>
    </row>
    <row r="6" spans="1:18" x14ac:dyDescent="0.25">
      <c r="A6" s="5"/>
      <c r="B6" s="6"/>
      <c r="C6" s="6"/>
      <c r="D6" s="7"/>
      <c r="E6" s="8" t="s">
        <v>12</v>
      </c>
      <c r="F6" s="9"/>
      <c r="G6" s="10">
        <v>1189520</v>
      </c>
      <c r="H6" s="11"/>
      <c r="I6" s="10"/>
      <c r="J6" s="11"/>
      <c r="K6" s="4"/>
      <c r="L6" s="10"/>
      <c r="M6" s="11"/>
      <c r="N6" s="10"/>
      <c r="O6" s="11"/>
    </row>
    <row r="7" spans="1:18" x14ac:dyDescent="0.25">
      <c r="A7" s="5"/>
      <c r="B7" s="6"/>
      <c r="C7" s="6"/>
      <c r="D7" s="7"/>
      <c r="E7" s="8" t="s">
        <v>12</v>
      </c>
      <c r="F7" s="9"/>
      <c r="G7" s="10">
        <v>1189528</v>
      </c>
      <c r="H7" s="11"/>
      <c r="I7" s="10">
        <v>62</v>
      </c>
      <c r="J7" s="11"/>
      <c r="K7" s="4">
        <v>350</v>
      </c>
      <c r="L7" s="10">
        <v>11.29</v>
      </c>
      <c r="M7" s="11"/>
      <c r="N7" s="10">
        <f>K7*L7</f>
        <v>3951.4999999999995</v>
      </c>
      <c r="O7" s="11"/>
    </row>
    <row r="8" spans="1:18" x14ac:dyDescent="0.25">
      <c r="A8" s="5" t="s">
        <v>10</v>
      </c>
      <c r="B8" s="6"/>
      <c r="C8" s="6"/>
      <c r="D8" s="7"/>
      <c r="E8" s="8" t="s">
        <v>13</v>
      </c>
      <c r="F8" s="9"/>
      <c r="G8" s="10">
        <v>1189575</v>
      </c>
      <c r="H8" s="11"/>
      <c r="I8" s="10"/>
      <c r="J8" s="11"/>
      <c r="K8" s="4"/>
      <c r="L8" s="10"/>
      <c r="M8" s="11"/>
      <c r="N8" s="10"/>
      <c r="O8" s="11"/>
      <c r="R8" s="1" t="s">
        <v>8</v>
      </c>
    </row>
    <row r="9" spans="1:18" x14ac:dyDescent="0.25">
      <c r="A9" s="5"/>
      <c r="B9" s="6"/>
      <c r="C9" s="6"/>
      <c r="D9" s="7"/>
      <c r="E9" s="8" t="s">
        <v>13</v>
      </c>
      <c r="F9" s="9"/>
      <c r="G9" s="10">
        <v>1189576</v>
      </c>
      <c r="H9" s="11"/>
      <c r="I9" s="10"/>
      <c r="J9" s="11"/>
      <c r="K9" s="4"/>
      <c r="L9" s="10"/>
      <c r="M9" s="11"/>
      <c r="N9" s="10"/>
      <c r="O9" s="11"/>
    </row>
    <row r="10" spans="1:18" x14ac:dyDescent="0.25">
      <c r="A10" s="5"/>
      <c r="B10" s="6"/>
      <c r="C10" s="6"/>
      <c r="D10" s="7"/>
      <c r="E10" s="8" t="s">
        <v>13</v>
      </c>
      <c r="F10" s="9"/>
      <c r="G10" s="10">
        <v>1189578</v>
      </c>
      <c r="H10" s="11"/>
      <c r="I10" s="10"/>
      <c r="J10" s="11"/>
      <c r="K10" s="4"/>
      <c r="L10" s="10"/>
      <c r="M10" s="11"/>
      <c r="N10" s="10"/>
      <c r="O10" s="11"/>
    </row>
    <row r="11" spans="1:18" x14ac:dyDescent="0.25">
      <c r="A11" s="5"/>
      <c r="B11" s="6"/>
      <c r="C11" s="6"/>
      <c r="D11" s="7"/>
      <c r="E11" s="8" t="s">
        <v>13</v>
      </c>
      <c r="F11" s="9"/>
      <c r="G11" s="10">
        <v>1189579</v>
      </c>
      <c r="H11" s="11"/>
      <c r="I11" s="10">
        <v>32</v>
      </c>
      <c r="J11" s="11"/>
      <c r="K11" s="4">
        <v>635</v>
      </c>
      <c r="L11" s="10">
        <v>9.49</v>
      </c>
      <c r="M11" s="11"/>
      <c r="N11" s="10">
        <f>K11*L11</f>
        <v>6026.1500000000005</v>
      </c>
      <c r="O11" s="11"/>
    </row>
    <row r="12" spans="1:18" x14ac:dyDescent="0.25">
      <c r="A12" s="5" t="s">
        <v>14</v>
      </c>
      <c r="B12" s="6"/>
      <c r="C12" s="6"/>
      <c r="D12" s="7"/>
      <c r="E12" s="8" t="s">
        <v>15</v>
      </c>
      <c r="F12" s="9"/>
      <c r="G12" s="10">
        <v>1189605</v>
      </c>
      <c r="H12" s="11"/>
      <c r="I12" s="10"/>
      <c r="J12" s="11"/>
      <c r="K12" s="4"/>
      <c r="L12" s="10"/>
      <c r="M12" s="11"/>
      <c r="N12" s="10"/>
      <c r="O12" s="11"/>
    </row>
    <row r="13" spans="1:18" x14ac:dyDescent="0.25">
      <c r="A13" s="5"/>
      <c r="B13" s="6"/>
      <c r="C13" s="6"/>
      <c r="D13" s="7"/>
      <c r="E13" s="8" t="s">
        <v>15</v>
      </c>
      <c r="F13" s="9"/>
      <c r="G13" s="10">
        <v>1189603</v>
      </c>
      <c r="H13" s="11"/>
      <c r="I13" s="10"/>
      <c r="J13" s="11"/>
      <c r="K13" s="4"/>
      <c r="L13" s="10"/>
      <c r="M13" s="11"/>
      <c r="N13" s="10"/>
      <c r="O13" s="11"/>
    </row>
    <row r="14" spans="1:18" x14ac:dyDescent="0.25">
      <c r="A14" s="5"/>
      <c r="B14" s="6"/>
      <c r="C14" s="6"/>
      <c r="D14" s="7"/>
      <c r="E14" s="8" t="s">
        <v>15</v>
      </c>
      <c r="F14" s="9"/>
      <c r="G14" s="10">
        <v>1189604</v>
      </c>
      <c r="H14" s="11"/>
      <c r="I14" s="10">
        <v>8</v>
      </c>
      <c r="J14" s="11"/>
      <c r="K14" s="4">
        <v>660</v>
      </c>
      <c r="L14" s="10">
        <v>8.08</v>
      </c>
      <c r="M14" s="11"/>
      <c r="N14" s="10">
        <f>K14*L14</f>
        <v>5332.8</v>
      </c>
      <c r="O14" s="11"/>
    </row>
    <row r="15" spans="1:18" x14ac:dyDescent="0.25">
      <c r="A15" s="5" t="s">
        <v>10</v>
      </c>
      <c r="B15" s="6"/>
      <c r="C15" s="6"/>
      <c r="D15" s="7"/>
      <c r="E15" s="8" t="s">
        <v>16</v>
      </c>
      <c r="F15" s="9"/>
      <c r="G15" s="10">
        <v>1189608</v>
      </c>
      <c r="H15" s="11"/>
      <c r="I15" s="10"/>
      <c r="J15" s="11"/>
      <c r="K15" s="4"/>
      <c r="L15" s="10"/>
      <c r="M15" s="11"/>
      <c r="N15" s="10"/>
      <c r="O15" s="11"/>
    </row>
    <row r="16" spans="1:18" x14ac:dyDescent="0.25">
      <c r="A16" s="5"/>
      <c r="B16" s="6"/>
      <c r="C16" s="6"/>
      <c r="D16" s="7"/>
      <c r="E16" s="8" t="s">
        <v>16</v>
      </c>
      <c r="F16" s="9"/>
      <c r="G16" s="10">
        <v>1189609</v>
      </c>
      <c r="H16" s="11"/>
      <c r="I16" s="10">
        <v>32</v>
      </c>
      <c r="J16" s="11"/>
      <c r="K16" s="4">
        <v>747</v>
      </c>
      <c r="L16" s="10">
        <v>9.49</v>
      </c>
      <c r="M16" s="11"/>
      <c r="N16" s="10">
        <f>K16*L16</f>
        <v>7089.03</v>
      </c>
      <c r="O16" s="11"/>
    </row>
    <row r="17" spans="1:25" x14ac:dyDescent="0.25">
      <c r="A17" s="5" t="s">
        <v>17</v>
      </c>
      <c r="B17" s="6"/>
      <c r="C17" s="6"/>
      <c r="D17" s="7"/>
      <c r="E17" s="8" t="s">
        <v>18</v>
      </c>
      <c r="F17" s="9"/>
      <c r="G17" s="10">
        <v>1189623</v>
      </c>
      <c r="H17" s="11"/>
      <c r="I17" s="10"/>
      <c r="J17" s="11"/>
      <c r="K17" s="4"/>
      <c r="L17" s="10"/>
      <c r="M17" s="11"/>
      <c r="N17" s="10"/>
      <c r="O17" s="11"/>
    </row>
    <row r="18" spans="1:25" x14ac:dyDescent="0.25">
      <c r="A18" s="5"/>
      <c r="B18" s="6"/>
      <c r="C18" s="6"/>
      <c r="D18" s="7"/>
      <c r="E18" s="8" t="s">
        <v>18</v>
      </c>
      <c r="F18" s="9"/>
      <c r="G18" s="10">
        <v>1189619</v>
      </c>
      <c r="H18" s="11"/>
      <c r="I18" s="10"/>
      <c r="J18" s="11"/>
      <c r="K18" s="4"/>
      <c r="L18" s="10"/>
      <c r="M18" s="11"/>
      <c r="N18" s="10"/>
      <c r="O18" s="11"/>
    </row>
    <row r="19" spans="1:25" x14ac:dyDescent="0.25">
      <c r="A19" s="5"/>
      <c r="B19" s="6"/>
      <c r="C19" s="6"/>
      <c r="D19" s="7"/>
      <c r="E19" s="8" t="s">
        <v>18</v>
      </c>
      <c r="F19" s="9"/>
      <c r="G19" s="10">
        <v>1189618</v>
      </c>
      <c r="H19" s="11"/>
      <c r="I19" s="10"/>
      <c r="J19" s="11"/>
      <c r="K19" s="4"/>
      <c r="L19" s="10"/>
      <c r="M19" s="11"/>
      <c r="N19" s="10"/>
      <c r="O19" s="11"/>
    </row>
    <row r="20" spans="1:25" x14ac:dyDescent="0.25">
      <c r="A20" s="5" t="s">
        <v>19</v>
      </c>
      <c r="B20" s="6"/>
      <c r="C20" s="6"/>
      <c r="D20" s="7"/>
      <c r="E20" s="8" t="s">
        <v>18</v>
      </c>
      <c r="F20" s="9"/>
      <c r="G20" s="10">
        <v>1189625</v>
      </c>
      <c r="H20" s="11"/>
      <c r="I20" s="10"/>
      <c r="J20" s="11"/>
      <c r="K20" s="4"/>
      <c r="L20" s="10"/>
      <c r="M20" s="11"/>
      <c r="N20" s="10"/>
      <c r="O20" s="11"/>
    </row>
    <row r="21" spans="1:25" x14ac:dyDescent="0.25">
      <c r="A21" s="5"/>
      <c r="B21" s="6"/>
      <c r="C21" s="6"/>
      <c r="D21" s="7"/>
      <c r="E21" s="8" t="s">
        <v>18</v>
      </c>
      <c r="F21" s="9"/>
      <c r="G21" s="10">
        <v>1189620</v>
      </c>
      <c r="H21" s="11"/>
      <c r="I21" s="10"/>
      <c r="J21" s="11"/>
      <c r="K21" s="4"/>
      <c r="L21" s="10"/>
      <c r="M21" s="11"/>
      <c r="N21" s="10"/>
      <c r="O21" s="11"/>
    </row>
    <row r="22" spans="1:25" s="3" customFormat="1" x14ac:dyDescent="0.25">
      <c r="A22" s="5"/>
      <c r="B22" s="6"/>
      <c r="C22" s="6"/>
      <c r="D22" s="7"/>
      <c r="E22" s="8" t="s">
        <v>18</v>
      </c>
      <c r="F22" s="9"/>
      <c r="G22" s="10">
        <v>1189626</v>
      </c>
      <c r="H22" s="11"/>
      <c r="I22" s="10"/>
      <c r="J22" s="11"/>
      <c r="K22" s="4"/>
      <c r="L22" s="10"/>
      <c r="M22" s="11"/>
      <c r="N22" s="10"/>
      <c r="O22" s="1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x14ac:dyDescent="0.25">
      <c r="A23" s="5" t="s">
        <v>20</v>
      </c>
      <c r="B23" s="6"/>
      <c r="C23" s="6"/>
      <c r="D23" s="7"/>
      <c r="E23" s="8" t="s">
        <v>18</v>
      </c>
      <c r="F23" s="9"/>
      <c r="G23" s="10">
        <v>1189624</v>
      </c>
      <c r="H23" s="11"/>
      <c r="I23" s="10"/>
      <c r="J23" s="11"/>
      <c r="K23" s="4"/>
      <c r="L23" s="10"/>
      <c r="M23" s="11"/>
      <c r="N23" s="10"/>
      <c r="O23" s="11"/>
    </row>
    <row r="24" spans="1:25" x14ac:dyDescent="0.25">
      <c r="A24" s="5" t="s">
        <v>21</v>
      </c>
      <c r="B24" s="6"/>
      <c r="C24" s="6"/>
      <c r="D24" s="7"/>
      <c r="E24" s="8" t="s">
        <v>18</v>
      </c>
      <c r="F24" s="9"/>
      <c r="G24" s="10">
        <v>1132111901</v>
      </c>
      <c r="H24" s="11"/>
      <c r="I24" s="10"/>
      <c r="J24" s="11"/>
      <c r="K24" s="4"/>
      <c r="L24" s="10"/>
      <c r="M24" s="11"/>
      <c r="N24" s="10"/>
      <c r="O24" s="11"/>
    </row>
    <row r="25" spans="1:25" x14ac:dyDescent="0.25">
      <c r="A25" s="5"/>
      <c r="B25" s="6"/>
      <c r="C25" s="6"/>
      <c r="D25" s="7"/>
      <c r="E25" s="8" t="s">
        <v>18</v>
      </c>
      <c r="F25" s="9"/>
      <c r="G25" s="10">
        <v>1132111800</v>
      </c>
      <c r="H25" s="11"/>
      <c r="I25" s="10"/>
      <c r="J25" s="11"/>
      <c r="K25" s="4"/>
      <c r="L25" s="10"/>
      <c r="M25" s="11"/>
      <c r="N25" s="10"/>
      <c r="O25" s="11"/>
    </row>
    <row r="26" spans="1:25" x14ac:dyDescent="0.25">
      <c r="A26" s="5"/>
      <c r="B26" s="6"/>
      <c r="C26" s="6"/>
      <c r="D26" s="7"/>
      <c r="E26" s="8" t="s">
        <v>18</v>
      </c>
      <c r="F26" s="9"/>
      <c r="G26" s="10">
        <v>11321112000</v>
      </c>
      <c r="H26" s="11"/>
      <c r="I26" s="10">
        <v>8</v>
      </c>
      <c r="J26" s="11"/>
      <c r="K26" s="4">
        <v>350</v>
      </c>
      <c r="L26" s="10">
        <v>8.08</v>
      </c>
      <c r="M26" s="11"/>
      <c r="N26" s="10">
        <f>K26*L26</f>
        <v>2828</v>
      </c>
      <c r="O26" s="11"/>
    </row>
    <row r="27" spans="1:25" x14ac:dyDescent="0.25">
      <c r="A27" s="5" t="s">
        <v>10</v>
      </c>
      <c r="B27" s="6"/>
      <c r="C27" s="6"/>
      <c r="D27" s="7"/>
      <c r="E27" s="8" t="s">
        <v>22</v>
      </c>
      <c r="F27" s="9"/>
      <c r="G27" s="10">
        <v>1189646</v>
      </c>
      <c r="H27" s="11"/>
      <c r="I27" s="10"/>
      <c r="J27" s="11"/>
      <c r="K27" s="4"/>
      <c r="L27" s="10"/>
      <c r="M27" s="11"/>
      <c r="N27" s="10"/>
      <c r="O27" s="11"/>
    </row>
    <row r="28" spans="1:25" x14ac:dyDescent="0.25">
      <c r="A28" s="5"/>
      <c r="B28" s="6"/>
      <c r="C28" s="6"/>
      <c r="D28" s="7"/>
      <c r="E28" s="8" t="s">
        <v>22</v>
      </c>
      <c r="F28" s="9"/>
      <c r="G28" s="10">
        <v>1189647</v>
      </c>
      <c r="H28" s="11"/>
      <c r="I28" s="10"/>
      <c r="J28" s="11"/>
      <c r="K28" s="4"/>
      <c r="L28" s="10"/>
      <c r="M28" s="11"/>
      <c r="N28" s="10"/>
      <c r="O28" s="11"/>
    </row>
    <row r="29" spans="1:25" x14ac:dyDescent="0.25">
      <c r="A29" s="5"/>
      <c r="B29" s="6"/>
      <c r="C29" s="6"/>
      <c r="D29" s="7"/>
      <c r="E29" s="8" t="s">
        <v>22</v>
      </c>
      <c r="F29" s="9"/>
      <c r="G29" s="10">
        <v>1189645</v>
      </c>
      <c r="H29" s="11"/>
      <c r="I29" s="10"/>
      <c r="J29" s="11"/>
      <c r="K29" s="4"/>
      <c r="L29" s="10"/>
      <c r="M29" s="11"/>
      <c r="N29" s="10"/>
      <c r="O29" s="11"/>
    </row>
    <row r="30" spans="1:25" x14ac:dyDescent="0.25">
      <c r="A30" s="5"/>
      <c r="B30" s="6"/>
      <c r="C30" s="6"/>
      <c r="D30" s="7"/>
      <c r="E30" s="8" t="s">
        <v>22</v>
      </c>
      <c r="F30" s="9"/>
      <c r="G30" s="10">
        <v>965797</v>
      </c>
      <c r="H30" s="11"/>
      <c r="I30" s="10">
        <v>32</v>
      </c>
      <c r="J30" s="11"/>
      <c r="K30" s="4">
        <v>690</v>
      </c>
      <c r="L30" s="10">
        <v>9.49</v>
      </c>
      <c r="M30" s="11"/>
      <c r="N30" s="10">
        <f>K30*L30</f>
        <v>6548.1</v>
      </c>
      <c r="O30" s="11"/>
    </row>
    <row r="31" spans="1:25" x14ac:dyDescent="0.25">
      <c r="A31" s="5" t="s">
        <v>23</v>
      </c>
      <c r="B31" s="6"/>
      <c r="C31" s="6"/>
      <c r="D31" s="7"/>
      <c r="E31" s="8" t="s">
        <v>24</v>
      </c>
      <c r="F31" s="9"/>
      <c r="G31" s="10">
        <v>1189661</v>
      </c>
      <c r="H31" s="11"/>
      <c r="I31" s="10"/>
      <c r="J31" s="11"/>
      <c r="K31" s="4"/>
      <c r="L31" s="10"/>
      <c r="M31" s="11"/>
      <c r="N31" s="10"/>
      <c r="O31" s="11"/>
    </row>
    <row r="32" spans="1:25" x14ac:dyDescent="0.25">
      <c r="A32" s="5"/>
      <c r="B32" s="6"/>
      <c r="C32" s="6"/>
      <c r="D32" s="7"/>
      <c r="E32" s="8" t="s">
        <v>24</v>
      </c>
      <c r="F32" s="9"/>
      <c r="G32" s="10">
        <v>1189662</v>
      </c>
      <c r="H32" s="11"/>
      <c r="I32" s="10"/>
      <c r="J32" s="11"/>
      <c r="K32" s="4"/>
      <c r="L32" s="10"/>
      <c r="M32" s="11"/>
      <c r="N32" s="10"/>
      <c r="O32" s="11"/>
    </row>
    <row r="33" spans="1:15" x14ac:dyDescent="0.25">
      <c r="A33" s="5"/>
      <c r="B33" s="6"/>
      <c r="C33" s="6"/>
      <c r="D33" s="7"/>
      <c r="E33" s="8" t="s">
        <v>24</v>
      </c>
      <c r="F33" s="9"/>
      <c r="G33" s="10">
        <v>1189656</v>
      </c>
      <c r="H33" s="11"/>
      <c r="I33" s="10"/>
      <c r="J33" s="11"/>
      <c r="K33" s="4"/>
      <c r="L33" s="10"/>
      <c r="M33" s="11"/>
      <c r="N33" s="10"/>
      <c r="O33" s="11"/>
    </row>
    <row r="34" spans="1:15" x14ac:dyDescent="0.25">
      <c r="A34" s="5"/>
      <c r="B34" s="6"/>
      <c r="C34" s="6"/>
      <c r="D34" s="7"/>
      <c r="E34" s="8" t="s">
        <v>24</v>
      </c>
      <c r="F34" s="9"/>
      <c r="G34" s="10">
        <v>1189657</v>
      </c>
      <c r="H34" s="11"/>
      <c r="I34" s="10"/>
      <c r="J34" s="11"/>
      <c r="K34" s="4"/>
      <c r="L34" s="10"/>
      <c r="M34" s="11"/>
      <c r="N34" s="10"/>
      <c r="O34" s="11"/>
    </row>
    <row r="35" spans="1:15" x14ac:dyDescent="0.25">
      <c r="A35" s="5"/>
      <c r="B35" s="6"/>
      <c r="C35" s="6"/>
      <c r="D35" s="7"/>
      <c r="E35" s="8" t="s">
        <v>24</v>
      </c>
      <c r="F35" s="9"/>
      <c r="G35" s="10">
        <v>1189659</v>
      </c>
      <c r="H35" s="11"/>
      <c r="I35" s="10"/>
      <c r="J35" s="11"/>
      <c r="K35" s="4"/>
      <c r="L35" s="10"/>
      <c r="M35" s="11"/>
      <c r="N35" s="10"/>
      <c r="O35" s="11"/>
    </row>
    <row r="36" spans="1:15" s="1" customFormat="1" x14ac:dyDescent="0.25">
      <c r="A36" s="5"/>
      <c r="B36" s="6"/>
      <c r="C36" s="6"/>
      <c r="D36" s="7"/>
      <c r="E36" s="8" t="s">
        <v>24</v>
      </c>
      <c r="F36" s="9"/>
      <c r="G36" s="10">
        <v>1189658</v>
      </c>
      <c r="H36" s="11"/>
      <c r="I36" s="10"/>
      <c r="J36" s="11"/>
      <c r="K36" s="4"/>
      <c r="L36" s="10"/>
      <c r="M36" s="11"/>
      <c r="N36" s="10"/>
      <c r="O36" s="11"/>
    </row>
    <row r="37" spans="1:15" s="1" customFormat="1" x14ac:dyDescent="0.25">
      <c r="A37" s="5" t="s">
        <v>20</v>
      </c>
      <c r="B37" s="6"/>
      <c r="C37" s="6"/>
      <c r="D37" s="7"/>
      <c r="E37" s="8" t="s">
        <v>24</v>
      </c>
      <c r="F37" s="9"/>
      <c r="G37" s="10">
        <v>1189660</v>
      </c>
      <c r="H37" s="11"/>
      <c r="I37" s="10">
        <v>8</v>
      </c>
      <c r="J37" s="11"/>
      <c r="K37" s="4">
        <v>350</v>
      </c>
      <c r="L37" s="10">
        <v>8.08</v>
      </c>
      <c r="M37" s="11"/>
      <c r="N37" s="10">
        <f>K37*L37</f>
        <v>2828</v>
      </c>
      <c r="O37" s="11"/>
    </row>
    <row r="38" spans="1:15" x14ac:dyDescent="0.25">
      <c r="A38" s="5" t="s">
        <v>17</v>
      </c>
      <c r="B38" s="6"/>
      <c r="C38" s="6"/>
      <c r="D38" s="7"/>
      <c r="E38" s="8" t="s">
        <v>25</v>
      </c>
      <c r="F38" s="9"/>
      <c r="G38" s="10">
        <v>1189685</v>
      </c>
      <c r="H38" s="11"/>
      <c r="I38" s="10"/>
      <c r="J38" s="11"/>
      <c r="K38" s="4"/>
      <c r="L38" s="10"/>
      <c r="M38" s="11"/>
      <c r="N38" s="10"/>
      <c r="O38" s="11"/>
    </row>
    <row r="39" spans="1:15" x14ac:dyDescent="0.25">
      <c r="A39" s="5"/>
      <c r="B39" s="6"/>
      <c r="C39" s="6"/>
      <c r="D39" s="7"/>
      <c r="E39" s="8" t="s">
        <v>25</v>
      </c>
      <c r="F39" s="9"/>
      <c r="G39" s="10">
        <v>1189686</v>
      </c>
      <c r="H39" s="11"/>
      <c r="I39" s="10"/>
      <c r="J39" s="11"/>
      <c r="K39" s="4"/>
      <c r="L39" s="10"/>
      <c r="M39" s="11"/>
      <c r="N39" s="10"/>
      <c r="O39" s="11"/>
    </row>
    <row r="40" spans="1:15" x14ac:dyDescent="0.25">
      <c r="A40" s="5" t="s">
        <v>10</v>
      </c>
      <c r="B40" s="6"/>
      <c r="C40" s="6"/>
      <c r="D40" s="7"/>
      <c r="E40" s="8" t="s">
        <v>25</v>
      </c>
      <c r="F40" s="9"/>
      <c r="G40" s="10">
        <v>1189687</v>
      </c>
      <c r="H40" s="11"/>
      <c r="I40" s="10"/>
      <c r="J40" s="11"/>
      <c r="K40" s="4"/>
      <c r="L40" s="10"/>
      <c r="M40" s="11"/>
      <c r="N40" s="10"/>
      <c r="O40" s="11"/>
    </row>
    <row r="41" spans="1:15" x14ac:dyDescent="0.25">
      <c r="A41" s="5"/>
      <c r="B41" s="6"/>
      <c r="C41" s="6"/>
      <c r="D41" s="7"/>
      <c r="E41" s="8" t="s">
        <v>25</v>
      </c>
      <c r="F41" s="9"/>
      <c r="G41" s="10">
        <v>1189688</v>
      </c>
      <c r="H41" s="11"/>
      <c r="I41" s="10">
        <v>32</v>
      </c>
      <c r="J41" s="11"/>
      <c r="K41" s="4">
        <v>350</v>
      </c>
      <c r="L41" s="10">
        <v>9.49</v>
      </c>
      <c r="M41" s="11"/>
      <c r="N41" s="10">
        <f>K41*L41</f>
        <v>3321.5</v>
      </c>
      <c r="O41" s="11"/>
    </row>
    <row r="42" spans="1:15" x14ac:dyDescent="0.25">
      <c r="A42" s="5" t="s">
        <v>10</v>
      </c>
      <c r="B42" s="6"/>
      <c r="C42" s="6"/>
      <c r="D42" s="7"/>
      <c r="E42" s="8" t="s">
        <v>26</v>
      </c>
      <c r="F42" s="9"/>
      <c r="G42" s="10">
        <v>1189693</v>
      </c>
      <c r="H42" s="11"/>
      <c r="I42" s="10">
        <v>32</v>
      </c>
      <c r="J42" s="11"/>
      <c r="K42" s="4">
        <v>744</v>
      </c>
      <c r="L42" s="10">
        <v>9.49</v>
      </c>
      <c r="M42" s="11"/>
      <c r="N42" s="10">
        <f>K42*L42</f>
        <v>7060.56</v>
      </c>
      <c r="O42" s="11"/>
    </row>
    <row r="43" spans="1:15" x14ac:dyDescent="0.25">
      <c r="A43" s="5" t="s">
        <v>28</v>
      </c>
      <c r="B43" s="6"/>
      <c r="C43" s="6"/>
      <c r="D43" s="7"/>
      <c r="E43" s="8" t="s">
        <v>27</v>
      </c>
      <c r="F43" s="9"/>
      <c r="G43" s="10">
        <v>1189707</v>
      </c>
      <c r="H43" s="11"/>
      <c r="I43" s="10"/>
      <c r="J43" s="11"/>
      <c r="K43" s="4"/>
      <c r="L43" s="10"/>
      <c r="M43" s="11"/>
      <c r="N43" s="10"/>
      <c r="O43" s="11"/>
    </row>
    <row r="44" spans="1:15" x14ac:dyDescent="0.25">
      <c r="A44" s="5" t="s">
        <v>10</v>
      </c>
      <c r="B44" s="6"/>
      <c r="C44" s="6"/>
      <c r="D44" s="7"/>
      <c r="E44" s="8" t="s">
        <v>27</v>
      </c>
      <c r="F44" s="9"/>
      <c r="G44" s="10">
        <v>1189705</v>
      </c>
      <c r="H44" s="11"/>
      <c r="I44" s="10">
        <v>32</v>
      </c>
      <c r="J44" s="11"/>
      <c r="K44" s="4">
        <v>175</v>
      </c>
      <c r="L44" s="10">
        <v>9.49</v>
      </c>
      <c r="M44" s="11"/>
      <c r="N44" s="10">
        <f>K44*L44</f>
        <v>1660.75</v>
      </c>
      <c r="O44" s="11"/>
    </row>
    <row r="45" spans="1:15" x14ac:dyDescent="0.25">
      <c r="A45" s="5" t="s">
        <v>10</v>
      </c>
      <c r="B45" s="6"/>
      <c r="C45" s="6"/>
      <c r="D45" s="7"/>
      <c r="E45" s="8" t="s">
        <v>29</v>
      </c>
      <c r="F45" s="9"/>
      <c r="G45" s="10">
        <v>1189721</v>
      </c>
      <c r="H45" s="11"/>
      <c r="I45" s="10"/>
      <c r="J45" s="11"/>
      <c r="K45" s="4"/>
      <c r="L45" s="10"/>
      <c r="M45" s="11"/>
      <c r="N45" s="10"/>
      <c r="O45" s="11"/>
    </row>
    <row r="46" spans="1:15" x14ac:dyDescent="0.25">
      <c r="A46" s="16"/>
      <c r="B46" s="17"/>
      <c r="C46" s="17"/>
      <c r="D46" s="18"/>
      <c r="E46" s="19" t="s">
        <v>29</v>
      </c>
      <c r="F46" s="20"/>
      <c r="G46" s="16">
        <v>1189724</v>
      </c>
      <c r="H46" s="18"/>
      <c r="I46" s="16"/>
      <c r="J46" s="18"/>
      <c r="K46" s="21"/>
      <c r="L46" s="16"/>
      <c r="M46" s="18"/>
      <c r="N46" s="16"/>
      <c r="O46" s="18"/>
    </row>
    <row r="47" spans="1:15" x14ac:dyDescent="0.25">
      <c r="A47" s="16"/>
      <c r="B47" s="17"/>
      <c r="C47" s="17"/>
      <c r="D47" s="18"/>
      <c r="E47" s="19" t="s">
        <v>29</v>
      </c>
      <c r="F47" s="20"/>
      <c r="G47" s="16">
        <v>1189725</v>
      </c>
      <c r="H47" s="18"/>
      <c r="I47" s="16"/>
      <c r="J47" s="18"/>
      <c r="K47" s="21"/>
      <c r="L47" s="16"/>
      <c r="M47" s="18"/>
      <c r="N47" s="16"/>
      <c r="O47" s="18"/>
    </row>
    <row r="48" spans="1:15" x14ac:dyDescent="0.25">
      <c r="A48" s="16"/>
      <c r="B48" s="17"/>
      <c r="C48" s="17"/>
      <c r="D48" s="18"/>
      <c r="E48" s="19" t="s">
        <v>29</v>
      </c>
      <c r="F48" s="20"/>
      <c r="G48" s="16">
        <v>1189726</v>
      </c>
      <c r="H48" s="18"/>
      <c r="I48" s="16"/>
      <c r="J48" s="18"/>
      <c r="K48" s="21"/>
      <c r="L48" s="16"/>
      <c r="M48" s="18"/>
      <c r="N48" s="16"/>
      <c r="O48" s="18"/>
    </row>
    <row r="49" spans="1:15" x14ac:dyDescent="0.25">
      <c r="A49" s="16"/>
      <c r="B49" s="17"/>
      <c r="C49" s="17"/>
      <c r="D49" s="18"/>
      <c r="E49" s="19" t="s">
        <v>29</v>
      </c>
      <c r="F49" s="20"/>
      <c r="G49" s="16">
        <v>1189727</v>
      </c>
      <c r="H49" s="18"/>
      <c r="I49" s="16">
        <v>32</v>
      </c>
      <c r="J49" s="18"/>
      <c r="K49" s="21">
        <v>623</v>
      </c>
      <c r="L49" s="16">
        <v>9.49</v>
      </c>
      <c r="M49" s="18"/>
      <c r="N49" s="16">
        <f>K49*L49</f>
        <v>5912.27</v>
      </c>
      <c r="O49" s="18"/>
    </row>
    <row r="50" spans="1:15" x14ac:dyDescent="0.25">
      <c r="A50" s="22" t="s">
        <v>30</v>
      </c>
      <c r="B50" s="23"/>
      <c r="C50" s="23"/>
      <c r="D50" s="24"/>
      <c r="E50" s="19" t="s">
        <v>31</v>
      </c>
      <c r="F50" s="20"/>
      <c r="G50" s="16">
        <v>1189750</v>
      </c>
      <c r="H50" s="18"/>
      <c r="I50" s="16"/>
      <c r="J50" s="18"/>
      <c r="K50" s="21"/>
      <c r="L50" s="16"/>
      <c r="M50" s="18"/>
      <c r="N50" s="16"/>
      <c r="O50" s="18"/>
    </row>
    <row r="51" spans="1:15" x14ac:dyDescent="0.25">
      <c r="A51" s="22" t="s">
        <v>32</v>
      </c>
      <c r="B51" s="23"/>
      <c r="C51" s="23"/>
      <c r="D51" s="24"/>
      <c r="E51" s="19" t="s">
        <v>31</v>
      </c>
      <c r="F51" s="20"/>
      <c r="G51" s="16">
        <v>1189720</v>
      </c>
      <c r="H51" s="18"/>
      <c r="I51" s="16"/>
      <c r="J51" s="18"/>
      <c r="K51" s="21"/>
      <c r="L51" s="16"/>
      <c r="M51" s="18"/>
      <c r="N51" s="16"/>
      <c r="O51" s="18"/>
    </row>
    <row r="52" spans="1:15" x14ac:dyDescent="0.25">
      <c r="A52" s="22" t="s">
        <v>33</v>
      </c>
      <c r="B52" s="23"/>
      <c r="C52" s="23"/>
      <c r="D52" s="24"/>
      <c r="E52" s="19" t="s">
        <v>31</v>
      </c>
      <c r="F52" s="20"/>
      <c r="G52" s="16">
        <v>1189744</v>
      </c>
      <c r="H52" s="18"/>
      <c r="I52" s="16"/>
      <c r="J52" s="18"/>
      <c r="K52" s="21"/>
      <c r="L52" s="16"/>
      <c r="M52" s="18"/>
      <c r="N52" s="16"/>
      <c r="O52" s="18"/>
    </row>
    <row r="53" spans="1:15" x14ac:dyDescent="0.25">
      <c r="A53" s="16"/>
      <c r="B53" s="17"/>
      <c r="C53" s="17"/>
      <c r="D53" s="18"/>
      <c r="E53" s="19" t="s">
        <v>31</v>
      </c>
      <c r="F53" s="20"/>
      <c r="G53" s="16">
        <v>1189745</v>
      </c>
      <c r="H53" s="18"/>
      <c r="I53" s="16"/>
      <c r="J53" s="18"/>
      <c r="K53" s="21"/>
      <c r="L53" s="16"/>
      <c r="M53" s="18"/>
      <c r="N53" s="16"/>
      <c r="O53" s="18"/>
    </row>
    <row r="54" spans="1:15" x14ac:dyDescent="0.25">
      <c r="A54" s="22" t="s">
        <v>10</v>
      </c>
      <c r="B54" s="23"/>
      <c r="C54" s="23"/>
      <c r="D54" s="24"/>
      <c r="E54" s="19" t="s">
        <v>31</v>
      </c>
      <c r="F54" s="20"/>
      <c r="G54" s="16">
        <v>1189734</v>
      </c>
      <c r="H54" s="18"/>
      <c r="I54" s="16"/>
      <c r="J54" s="18"/>
      <c r="K54" s="21"/>
      <c r="L54" s="16"/>
      <c r="M54" s="18"/>
      <c r="N54" s="16"/>
      <c r="O54" s="18"/>
    </row>
    <row r="55" spans="1:15" x14ac:dyDescent="0.25">
      <c r="A55" s="16"/>
      <c r="B55" s="17"/>
      <c r="C55" s="17"/>
      <c r="D55" s="18"/>
      <c r="E55" s="19" t="s">
        <v>31</v>
      </c>
      <c r="F55" s="20"/>
      <c r="G55" s="16">
        <v>1189733</v>
      </c>
      <c r="H55" s="18"/>
      <c r="I55" s="16"/>
      <c r="J55" s="18"/>
      <c r="K55" s="21"/>
      <c r="L55" s="16"/>
      <c r="M55" s="18"/>
      <c r="N55" s="16"/>
      <c r="O55" s="18"/>
    </row>
    <row r="56" spans="1:15" x14ac:dyDescent="0.25">
      <c r="A56" s="16"/>
      <c r="B56" s="17"/>
      <c r="C56" s="17"/>
      <c r="D56" s="18"/>
      <c r="E56" s="19" t="s">
        <v>31</v>
      </c>
      <c r="F56" s="20"/>
      <c r="G56" s="25">
        <v>1189725</v>
      </c>
      <c r="H56" s="26"/>
      <c r="I56" s="16">
        <v>32</v>
      </c>
      <c r="J56" s="18"/>
      <c r="K56" s="21">
        <v>887</v>
      </c>
      <c r="L56" s="16">
        <v>9.49</v>
      </c>
      <c r="M56" s="18"/>
      <c r="N56" s="16">
        <f>K56*L56</f>
        <v>8417.630000000001</v>
      </c>
      <c r="O56" s="18"/>
    </row>
    <row r="57" spans="1:15" x14ac:dyDescent="0.25">
      <c r="A57" s="22"/>
      <c r="B57" s="23"/>
      <c r="C57" s="23"/>
      <c r="D57" s="24"/>
      <c r="E57" s="19"/>
      <c r="F57" s="27"/>
      <c r="G57" s="28"/>
      <c r="H57" s="29"/>
      <c r="I57" s="17"/>
      <c r="J57" s="18"/>
      <c r="K57" s="21"/>
      <c r="L57" s="30"/>
      <c r="M57" s="31"/>
      <c r="N57" s="30"/>
      <c r="O57" s="31"/>
    </row>
    <row r="58" spans="1:15" x14ac:dyDescent="0.25">
      <c r="A58" s="32" t="s">
        <v>9</v>
      </c>
      <c r="B58" s="32"/>
      <c r="C58" s="32"/>
      <c r="D58" s="32"/>
      <c r="E58" s="33"/>
      <c r="F58" s="33"/>
      <c r="G58" s="33"/>
      <c r="H58" s="33"/>
      <c r="I58" s="33"/>
      <c r="J58" s="33"/>
      <c r="K58" s="33"/>
      <c r="L58" s="34" t="s">
        <v>7</v>
      </c>
      <c r="M58" s="34"/>
      <c r="N58" s="35">
        <f>N56+N49+N44+N42+N41+N37+N30+N26+N16+N14+N11+N7+N3</f>
        <v>64345.240000000005</v>
      </c>
      <c r="O58" s="35"/>
    </row>
  </sheetData>
  <mergeCells count="345">
    <mergeCell ref="N50:O50"/>
    <mergeCell ref="N48:O48"/>
    <mergeCell ref="N47:O47"/>
    <mergeCell ref="L47:M47"/>
    <mergeCell ref="L48:M48"/>
    <mergeCell ref="I48:J48"/>
    <mergeCell ref="N54:O54"/>
    <mergeCell ref="N56:O56"/>
    <mergeCell ref="N53:O53"/>
    <mergeCell ref="N52:O52"/>
    <mergeCell ref="N51:O51"/>
    <mergeCell ref="L51:M51"/>
    <mergeCell ref="L52:M52"/>
    <mergeCell ref="N55:O55"/>
    <mergeCell ref="N45:O45"/>
    <mergeCell ref="N46:O46"/>
    <mergeCell ref="A47:D47"/>
    <mergeCell ref="E47:F47"/>
    <mergeCell ref="I47:J47"/>
    <mergeCell ref="G48:H48"/>
    <mergeCell ref="E48:F48"/>
    <mergeCell ref="N49:O49"/>
    <mergeCell ref="A48:D48"/>
    <mergeCell ref="A42:D42"/>
    <mergeCell ref="E42:F42"/>
    <mergeCell ref="G42:H42"/>
    <mergeCell ref="I42:J42"/>
    <mergeCell ref="L42:M42"/>
    <mergeCell ref="L43:M43"/>
    <mergeCell ref="I43:J43"/>
    <mergeCell ref="G43:H43"/>
    <mergeCell ref="E43:F43"/>
    <mergeCell ref="A43:D43"/>
    <mergeCell ref="G57:H57"/>
    <mergeCell ref="E55:F55"/>
    <mergeCell ref="G55:H55"/>
    <mergeCell ref="I55:J55"/>
    <mergeCell ref="L55:M55"/>
    <mergeCell ref="A56:D56"/>
    <mergeCell ref="E56:F56"/>
    <mergeCell ref="I56:J56"/>
    <mergeCell ref="L56:M56"/>
    <mergeCell ref="A53:D53"/>
    <mergeCell ref="E53:F53"/>
    <mergeCell ref="G53:H53"/>
    <mergeCell ref="I53:J53"/>
    <mergeCell ref="L53:M53"/>
    <mergeCell ref="A54:D54"/>
    <mergeCell ref="E54:F54"/>
    <mergeCell ref="G54:H54"/>
    <mergeCell ref="I54:J54"/>
    <mergeCell ref="L54:M54"/>
    <mergeCell ref="A51:D51"/>
    <mergeCell ref="E51:F51"/>
    <mergeCell ref="G51:H51"/>
    <mergeCell ref="I51:J51"/>
    <mergeCell ref="A52:D52"/>
    <mergeCell ref="E52:F52"/>
    <mergeCell ref="G52:H52"/>
    <mergeCell ref="I52:J52"/>
    <mergeCell ref="A49:D49"/>
    <mergeCell ref="E49:F49"/>
    <mergeCell ref="G49:H49"/>
    <mergeCell ref="I49:J49"/>
    <mergeCell ref="L49:M49"/>
    <mergeCell ref="A50:D50"/>
    <mergeCell ref="E50:F50"/>
    <mergeCell ref="G50:H50"/>
    <mergeCell ref="I50:J50"/>
    <mergeCell ref="L50:M50"/>
    <mergeCell ref="A55:D55"/>
    <mergeCell ref="G56:H56"/>
    <mergeCell ref="A45:D45"/>
    <mergeCell ref="E45:F45"/>
    <mergeCell ref="G45:H45"/>
    <mergeCell ref="I45:J45"/>
    <mergeCell ref="L45:M45"/>
    <mergeCell ref="A46:D46"/>
    <mergeCell ref="E46:F46"/>
    <mergeCell ref="G46:H46"/>
    <mergeCell ref="I46:J46"/>
    <mergeCell ref="L46:M46"/>
    <mergeCell ref="I44:J44"/>
    <mergeCell ref="L44:M44"/>
    <mergeCell ref="N44:O44"/>
    <mergeCell ref="G44:H44"/>
    <mergeCell ref="E44:F44"/>
    <mergeCell ref="A44:D44"/>
    <mergeCell ref="I41:J41"/>
    <mergeCell ref="L41:M41"/>
    <mergeCell ref="N41:O41"/>
    <mergeCell ref="N42:O42"/>
    <mergeCell ref="N43:O43"/>
    <mergeCell ref="A23:D23"/>
    <mergeCell ref="A25:D25"/>
    <mergeCell ref="N38:O38"/>
    <mergeCell ref="L38:M38"/>
    <mergeCell ref="I38:J38"/>
    <mergeCell ref="E14:F14"/>
    <mergeCell ref="A41:D41"/>
    <mergeCell ref="E41:F41"/>
    <mergeCell ref="G41:H41"/>
    <mergeCell ref="N35:O35"/>
    <mergeCell ref="N34:O34"/>
    <mergeCell ref="N33:O33"/>
    <mergeCell ref="L27:M27"/>
    <mergeCell ref="L28:M28"/>
    <mergeCell ref="L29:M29"/>
    <mergeCell ref="L31:M31"/>
    <mergeCell ref="L32:M32"/>
    <mergeCell ref="L25:M25"/>
    <mergeCell ref="L26:M26"/>
    <mergeCell ref="N32:O32"/>
    <mergeCell ref="E39:F39"/>
    <mergeCell ref="G39:H39"/>
    <mergeCell ref="N39:O39"/>
    <mergeCell ref="L39:M39"/>
    <mergeCell ref="I39:J39"/>
    <mergeCell ref="A38:D38"/>
    <mergeCell ref="A39:D39"/>
    <mergeCell ref="E38:F38"/>
    <mergeCell ref="A24:D24"/>
    <mergeCell ref="A26:D26"/>
    <mergeCell ref="A27:D27"/>
    <mergeCell ref="N26:O26"/>
    <mergeCell ref="N25:O25"/>
    <mergeCell ref="N24:O24"/>
    <mergeCell ref="L34:M34"/>
    <mergeCell ref="N23:O23"/>
    <mergeCell ref="G27:H27"/>
    <mergeCell ref="G28:H28"/>
    <mergeCell ref="G29:H29"/>
    <mergeCell ref="G30:H30"/>
    <mergeCell ref="G31:H31"/>
    <mergeCell ref="G32:H32"/>
    <mergeCell ref="I26:J26"/>
    <mergeCell ref="L24:M24"/>
    <mergeCell ref="L33:M33"/>
    <mergeCell ref="N31:O31"/>
    <mergeCell ref="N30:O30"/>
    <mergeCell ref="N29:O29"/>
    <mergeCell ref="N28:O28"/>
    <mergeCell ref="N27:O27"/>
    <mergeCell ref="A1:D1"/>
    <mergeCell ref="A3:D3"/>
    <mergeCell ref="A4:D4"/>
    <mergeCell ref="A17:D17"/>
    <mergeCell ref="A20:D20"/>
    <mergeCell ref="A21:D21"/>
    <mergeCell ref="A13:D13"/>
    <mergeCell ref="A14:D14"/>
    <mergeCell ref="A15:D15"/>
    <mergeCell ref="A16:D16"/>
    <mergeCell ref="A2:D2"/>
    <mergeCell ref="A10:D10"/>
    <mergeCell ref="A8:D8"/>
    <mergeCell ref="A9:D9"/>
    <mergeCell ref="A11:D11"/>
    <mergeCell ref="A12:D12"/>
    <mergeCell ref="A6:D6"/>
    <mergeCell ref="A5:D5"/>
    <mergeCell ref="A7:D7"/>
    <mergeCell ref="L23:M23"/>
    <mergeCell ref="G33:H33"/>
    <mergeCell ref="G34:H34"/>
    <mergeCell ref="G35:H35"/>
    <mergeCell ref="I35:J35"/>
    <mergeCell ref="L35:M35"/>
    <mergeCell ref="I34:J34"/>
    <mergeCell ref="I33:J33"/>
    <mergeCell ref="I25:J25"/>
    <mergeCell ref="E24:F24"/>
    <mergeCell ref="E23:F23"/>
    <mergeCell ref="E21:F21"/>
    <mergeCell ref="E20:F20"/>
    <mergeCell ref="I32:J32"/>
    <mergeCell ref="I31:J31"/>
    <mergeCell ref="I29:J29"/>
    <mergeCell ref="I28:J28"/>
    <mergeCell ref="I27:J27"/>
    <mergeCell ref="E32:F32"/>
    <mergeCell ref="E31:F31"/>
    <mergeCell ref="E30:F30"/>
    <mergeCell ref="E28:F28"/>
    <mergeCell ref="G20:H20"/>
    <mergeCell ref="G21:H21"/>
    <mergeCell ref="G23:H23"/>
    <mergeCell ref="G24:H24"/>
    <mergeCell ref="I24:J24"/>
    <mergeCell ref="I23:J23"/>
    <mergeCell ref="I21:J21"/>
    <mergeCell ref="I20:J20"/>
    <mergeCell ref="G25:H25"/>
    <mergeCell ref="G26:H26"/>
    <mergeCell ref="E35:F35"/>
    <mergeCell ref="E34:F34"/>
    <mergeCell ref="E33:F33"/>
    <mergeCell ref="E27:F27"/>
    <mergeCell ref="E25:F25"/>
    <mergeCell ref="A32:D32"/>
    <mergeCell ref="A33:D33"/>
    <mergeCell ref="A34:D34"/>
    <mergeCell ref="A35:D35"/>
    <mergeCell ref="A28:D28"/>
    <mergeCell ref="A29:D29"/>
    <mergeCell ref="A30:D30"/>
    <mergeCell ref="A31:D31"/>
    <mergeCell ref="E26:F26"/>
    <mergeCell ref="N17:O17"/>
    <mergeCell ref="N16:O16"/>
    <mergeCell ref="N10:O10"/>
    <mergeCell ref="N9:O9"/>
    <mergeCell ref="N8:O8"/>
    <mergeCell ref="N7:O7"/>
    <mergeCell ref="N6:O6"/>
    <mergeCell ref="N5:O5"/>
    <mergeCell ref="L11:M11"/>
    <mergeCell ref="L12:M12"/>
    <mergeCell ref="L13:M13"/>
    <mergeCell ref="L14:M14"/>
    <mergeCell ref="L15:M15"/>
    <mergeCell ref="N15:O15"/>
    <mergeCell ref="L9:M9"/>
    <mergeCell ref="L10:M10"/>
    <mergeCell ref="N14:O14"/>
    <mergeCell ref="N13:O13"/>
    <mergeCell ref="N12:O12"/>
    <mergeCell ref="N11:O11"/>
    <mergeCell ref="L16:M16"/>
    <mergeCell ref="L17:M17"/>
    <mergeCell ref="G13:H13"/>
    <mergeCell ref="G2:H2"/>
    <mergeCell ref="G3:H3"/>
    <mergeCell ref="G4:H4"/>
    <mergeCell ref="G5:H5"/>
    <mergeCell ref="G6:H6"/>
    <mergeCell ref="G7:H7"/>
    <mergeCell ref="G8:H8"/>
    <mergeCell ref="I10:J10"/>
    <mergeCell ref="I11:J11"/>
    <mergeCell ref="I12:J12"/>
    <mergeCell ref="I13:J13"/>
    <mergeCell ref="I8:J8"/>
    <mergeCell ref="I9:J9"/>
    <mergeCell ref="E12:F12"/>
    <mergeCell ref="E6:F6"/>
    <mergeCell ref="E7:F7"/>
    <mergeCell ref="E8:F8"/>
    <mergeCell ref="E10:F10"/>
    <mergeCell ref="E11:F11"/>
    <mergeCell ref="E9:F9"/>
    <mergeCell ref="I2:J2"/>
    <mergeCell ref="I3:J3"/>
    <mergeCell ref="I4:J4"/>
    <mergeCell ref="I5:J5"/>
    <mergeCell ref="I6:J6"/>
    <mergeCell ref="I7:J7"/>
    <mergeCell ref="G12:H12"/>
    <mergeCell ref="E1:F1"/>
    <mergeCell ref="G1:H1"/>
    <mergeCell ref="G9:H9"/>
    <mergeCell ref="G10:H10"/>
    <mergeCell ref="N2:O2"/>
    <mergeCell ref="G11:H11"/>
    <mergeCell ref="L2:M2"/>
    <mergeCell ref="L3:M3"/>
    <mergeCell ref="L4:M4"/>
    <mergeCell ref="L5:M5"/>
    <mergeCell ref="L6:M6"/>
    <mergeCell ref="L7:M7"/>
    <mergeCell ref="L8:M8"/>
    <mergeCell ref="E2:F2"/>
    <mergeCell ref="E3:F3"/>
    <mergeCell ref="E4:F4"/>
    <mergeCell ref="E5:F5"/>
    <mergeCell ref="I14:J14"/>
    <mergeCell ref="N4:O4"/>
    <mergeCell ref="N3:O3"/>
    <mergeCell ref="I1:J1"/>
    <mergeCell ref="I57:J57"/>
    <mergeCell ref="L57:M57"/>
    <mergeCell ref="N57:O57"/>
    <mergeCell ref="E13:F13"/>
    <mergeCell ref="E29:F29"/>
    <mergeCell ref="I30:J30"/>
    <mergeCell ref="L30:M30"/>
    <mergeCell ref="E15:F15"/>
    <mergeCell ref="E17:F17"/>
    <mergeCell ref="I17:J17"/>
    <mergeCell ref="G14:H14"/>
    <mergeCell ref="G15:H15"/>
    <mergeCell ref="G16:H16"/>
    <mergeCell ref="G17:H17"/>
    <mergeCell ref="E16:F16"/>
    <mergeCell ref="I16:J16"/>
    <mergeCell ref="I15:J15"/>
    <mergeCell ref="L1:M1"/>
    <mergeCell ref="N1:O1"/>
    <mergeCell ref="I37:J37"/>
    <mergeCell ref="A36:D36"/>
    <mergeCell ref="A58:D58"/>
    <mergeCell ref="L58:M58"/>
    <mergeCell ref="N58:O58"/>
    <mergeCell ref="E36:F36"/>
    <mergeCell ref="G36:H36"/>
    <mergeCell ref="I36:J36"/>
    <mergeCell ref="L36:M36"/>
    <mergeCell ref="N36:O36"/>
    <mergeCell ref="A37:D37"/>
    <mergeCell ref="E37:F37"/>
    <mergeCell ref="G37:H37"/>
    <mergeCell ref="G47:H47"/>
    <mergeCell ref="E57:F57"/>
    <mergeCell ref="A57:D57"/>
    <mergeCell ref="N40:O40"/>
    <mergeCell ref="L40:M40"/>
    <mergeCell ref="I40:J40"/>
    <mergeCell ref="G40:H40"/>
    <mergeCell ref="E40:F40"/>
    <mergeCell ref="A40:D40"/>
    <mergeCell ref="G38:H38"/>
    <mergeCell ref="L37:M37"/>
    <mergeCell ref="N37:O37"/>
    <mergeCell ref="A22:D22"/>
    <mergeCell ref="E22:F22"/>
    <mergeCell ref="G22:H22"/>
    <mergeCell ref="I22:J22"/>
    <mergeCell ref="L22:M22"/>
    <mergeCell ref="N22:O22"/>
    <mergeCell ref="A18:D18"/>
    <mergeCell ref="E18:F18"/>
    <mergeCell ref="G18:H18"/>
    <mergeCell ref="I18:J18"/>
    <mergeCell ref="L18:M18"/>
    <mergeCell ref="N18:O18"/>
    <mergeCell ref="A19:D19"/>
    <mergeCell ref="E19:F19"/>
    <mergeCell ref="G19:H19"/>
    <mergeCell ref="I19:J19"/>
    <mergeCell ref="L19:M19"/>
    <mergeCell ref="N19:O19"/>
    <mergeCell ref="N21:O21"/>
    <mergeCell ref="N20:O20"/>
    <mergeCell ref="L20:M20"/>
    <mergeCell ref="L21:M21"/>
  </mergeCells>
  <phoneticPr fontId="4" type="noConversion"/>
  <printOptions horizontalCentered="1"/>
  <pageMargins left="0.70866141732283472" right="0.70866141732283472" top="0.94488188976377963" bottom="0.74803149606299213" header="0.31496062992125984" footer="0.31496062992125984"/>
  <pageSetup orientation="portrait" r:id="rId1"/>
  <headerFooter>
    <oddHeader>&amp;C&amp;"-,Bold"DCA MULTITUDE TRADING CORPORATION</oddHeader>
  </headerFooter>
  <rowBreaks count="1" manualBreakCount="1">
    <brk id="38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Clarence Ricafrente</dc:creator>
  <cp:lastModifiedBy>Clarence Ricafrente</cp:lastModifiedBy>
  <cp:lastPrinted>2025-09-30T14:21:05Z</cp:lastPrinted>
  <dcterms:created xsi:type="dcterms:W3CDTF">2025-06-07T03:51:48Z</dcterms:created>
  <dcterms:modified xsi:type="dcterms:W3CDTF">2025-09-30T14:21:42Z</dcterms:modified>
</cp:coreProperties>
</file>